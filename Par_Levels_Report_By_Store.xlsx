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onty\wine-searcher-feeds\"/>
    </mc:Choice>
  </mc:AlternateContent>
  <xr:revisionPtr revIDLastSave="0" documentId="8_{5E57F5D7-03D1-406D-B4E3-41156F168579}" xr6:coauthVersionLast="47" xr6:coauthVersionMax="47" xr10:uidLastSave="{00000000-0000-0000-0000-000000000000}"/>
  <bookViews>
    <workbookView xWindow="-120" yWindow="-120" windowWidth="51840" windowHeight="21120" tabRatio="500" xr2:uid="{00000000-000D-0000-FFFF-FFFF00000000}"/>
  </bookViews>
  <sheets>
    <sheet name="README" sheetId="1" r:id="rId1"/>
    <sheet name="Las Olas" sheetId="2" r:id="rId2"/>
    <sheet name="Bayview" sheetId="3" r:id="rId3"/>
    <sheet name="Beach" sheetId="4" r:id="rId4"/>
    <sheet name="Sunrise" sheetId="5" r:id="rId5"/>
  </sheets>
  <definedNames>
    <definedName name="_xlnm._FilterDatabase" localSheetId="2" hidden="1">Bayview!$A$1:$H$101</definedName>
    <definedName name="_xlnm._FilterDatabase" localSheetId="3" hidden="1">Beach!$A$1:$H$101</definedName>
    <definedName name="_xlnm._FilterDatabase" localSheetId="1" hidden="1">'Las Olas'!$A$1:$H$101</definedName>
    <definedName name="_xlnm._FilterDatabase" localSheetId="4" hidden="1">Sunrise!$A$1:$H$101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G101" i="5" l="1"/>
  <c r="H101" i="5" s="1"/>
  <c r="G100" i="5"/>
  <c r="H100" i="5" s="1"/>
  <c r="G99" i="5"/>
  <c r="H99" i="5" s="1"/>
  <c r="G98" i="5"/>
  <c r="H98" i="5" s="1"/>
  <c r="H97" i="5"/>
  <c r="G97" i="5"/>
  <c r="G96" i="5"/>
  <c r="H96" i="5" s="1"/>
  <c r="G95" i="5"/>
  <c r="H95" i="5" s="1"/>
  <c r="G94" i="5"/>
  <c r="H94" i="5" s="1"/>
  <c r="G93" i="5"/>
  <c r="H93" i="5" s="1"/>
  <c r="G92" i="5"/>
  <c r="H92" i="5" s="1"/>
  <c r="G91" i="5"/>
  <c r="H91" i="5" s="1"/>
  <c r="G90" i="5"/>
  <c r="H90" i="5" s="1"/>
  <c r="H89" i="5"/>
  <c r="G89" i="5"/>
  <c r="G88" i="5"/>
  <c r="H88" i="5" s="1"/>
  <c r="G87" i="5"/>
  <c r="H87" i="5" s="1"/>
  <c r="G86" i="5"/>
  <c r="H86" i="5" s="1"/>
  <c r="G85" i="5"/>
  <c r="H85" i="5" s="1"/>
  <c r="G84" i="5"/>
  <c r="H84" i="5" s="1"/>
  <c r="G83" i="5"/>
  <c r="H83" i="5" s="1"/>
  <c r="G82" i="5"/>
  <c r="H82" i="5" s="1"/>
  <c r="H81" i="5"/>
  <c r="G81" i="5"/>
  <c r="G80" i="5"/>
  <c r="H80" i="5" s="1"/>
  <c r="G79" i="5"/>
  <c r="H79" i="5" s="1"/>
  <c r="G78" i="5"/>
  <c r="H78" i="5" s="1"/>
  <c r="G77" i="5"/>
  <c r="H77" i="5" s="1"/>
  <c r="G76" i="5"/>
  <c r="H76" i="5" s="1"/>
  <c r="G75" i="5"/>
  <c r="H75" i="5" s="1"/>
  <c r="G74" i="5"/>
  <c r="H74" i="5" s="1"/>
  <c r="H73" i="5"/>
  <c r="G73" i="5"/>
  <c r="G72" i="5"/>
  <c r="H72" i="5" s="1"/>
  <c r="G71" i="5"/>
  <c r="H71" i="5" s="1"/>
  <c r="G70" i="5"/>
  <c r="H70" i="5" s="1"/>
  <c r="G69" i="5"/>
  <c r="H69" i="5" s="1"/>
  <c r="G68" i="5"/>
  <c r="H68" i="5" s="1"/>
  <c r="G67" i="5"/>
  <c r="H67" i="5" s="1"/>
  <c r="G66" i="5"/>
  <c r="H66" i="5" s="1"/>
  <c r="H65" i="5"/>
  <c r="G65" i="5"/>
  <c r="G64" i="5"/>
  <c r="H64" i="5" s="1"/>
  <c r="G63" i="5"/>
  <c r="H63" i="5" s="1"/>
  <c r="G62" i="5"/>
  <c r="H62" i="5" s="1"/>
  <c r="G61" i="5"/>
  <c r="H61" i="5" s="1"/>
  <c r="G60" i="5"/>
  <c r="H60" i="5" s="1"/>
  <c r="G59" i="5"/>
  <c r="H59" i="5" s="1"/>
  <c r="G58" i="5"/>
  <c r="H58" i="5" s="1"/>
  <c r="H57" i="5"/>
  <c r="G57" i="5"/>
  <c r="G56" i="5"/>
  <c r="H56" i="5" s="1"/>
  <c r="G55" i="5"/>
  <c r="H55" i="5" s="1"/>
  <c r="G54" i="5"/>
  <c r="H54" i="5" s="1"/>
  <c r="G53" i="5"/>
  <c r="H53" i="5" s="1"/>
  <c r="G52" i="5"/>
  <c r="H52" i="5" s="1"/>
  <c r="G51" i="5"/>
  <c r="H51" i="5" s="1"/>
  <c r="G50" i="5"/>
  <c r="H50" i="5" s="1"/>
  <c r="H49" i="5"/>
  <c r="G49" i="5"/>
  <c r="G48" i="5"/>
  <c r="H48" i="5" s="1"/>
  <c r="G47" i="5"/>
  <c r="H47" i="5" s="1"/>
  <c r="G46" i="5"/>
  <c r="H46" i="5" s="1"/>
  <c r="G45" i="5"/>
  <c r="H45" i="5" s="1"/>
  <c r="G44" i="5"/>
  <c r="H44" i="5" s="1"/>
  <c r="G43" i="5"/>
  <c r="H43" i="5" s="1"/>
  <c r="G42" i="5"/>
  <c r="H42" i="5" s="1"/>
  <c r="H41" i="5"/>
  <c r="G41" i="5"/>
  <c r="G40" i="5"/>
  <c r="H40" i="5" s="1"/>
  <c r="G39" i="5"/>
  <c r="H39" i="5" s="1"/>
  <c r="G38" i="5"/>
  <c r="H38" i="5" s="1"/>
  <c r="G37" i="5"/>
  <c r="H37" i="5" s="1"/>
  <c r="G36" i="5"/>
  <c r="H36" i="5" s="1"/>
  <c r="G35" i="5"/>
  <c r="H35" i="5" s="1"/>
  <c r="G34" i="5"/>
  <c r="H34" i="5" s="1"/>
  <c r="H33" i="5"/>
  <c r="G33" i="5"/>
  <c r="G32" i="5"/>
  <c r="H32" i="5" s="1"/>
  <c r="G31" i="5"/>
  <c r="H31" i="5" s="1"/>
  <c r="G30" i="5"/>
  <c r="H30" i="5" s="1"/>
  <c r="G29" i="5"/>
  <c r="H29" i="5" s="1"/>
  <c r="G28" i="5"/>
  <c r="H28" i="5" s="1"/>
  <c r="G27" i="5"/>
  <c r="H27" i="5" s="1"/>
  <c r="G26" i="5"/>
  <c r="H26" i="5" s="1"/>
  <c r="H25" i="5"/>
  <c r="G25" i="5"/>
  <c r="G24" i="5"/>
  <c r="H24" i="5" s="1"/>
  <c r="G23" i="5"/>
  <c r="H23" i="5" s="1"/>
  <c r="G22" i="5"/>
  <c r="H22" i="5" s="1"/>
  <c r="G21" i="5"/>
  <c r="H21" i="5" s="1"/>
  <c r="G20" i="5"/>
  <c r="H20" i="5" s="1"/>
  <c r="G19" i="5"/>
  <c r="H19" i="5" s="1"/>
  <c r="G18" i="5"/>
  <c r="H18" i="5" s="1"/>
  <c r="H17" i="5"/>
  <c r="G17" i="5"/>
  <c r="G16" i="5"/>
  <c r="H16" i="5" s="1"/>
  <c r="G15" i="5"/>
  <c r="H15" i="5" s="1"/>
  <c r="G14" i="5"/>
  <c r="H14" i="5" s="1"/>
  <c r="G13" i="5"/>
  <c r="H13" i="5" s="1"/>
  <c r="G12" i="5"/>
  <c r="H12" i="5" s="1"/>
  <c r="G11" i="5"/>
  <c r="H11" i="5" s="1"/>
  <c r="G10" i="5"/>
  <c r="H10" i="5" s="1"/>
  <c r="H9" i="5"/>
  <c r="G9" i="5"/>
  <c r="G8" i="5"/>
  <c r="H8" i="5" s="1"/>
  <c r="G7" i="5"/>
  <c r="H7" i="5" s="1"/>
  <c r="G6" i="5"/>
  <c r="H6" i="5" s="1"/>
  <c r="G5" i="5"/>
  <c r="H5" i="5" s="1"/>
  <c r="G4" i="5"/>
  <c r="H4" i="5" s="1"/>
  <c r="G3" i="5"/>
  <c r="H3" i="5" s="1"/>
  <c r="G2" i="5"/>
  <c r="H2" i="5" s="1"/>
  <c r="H101" i="4"/>
  <c r="G101" i="4"/>
  <c r="G100" i="4"/>
  <c r="H100" i="4" s="1"/>
  <c r="G99" i="4"/>
  <c r="H99" i="4" s="1"/>
  <c r="G98" i="4"/>
  <c r="H98" i="4" s="1"/>
  <c r="G97" i="4"/>
  <c r="H97" i="4" s="1"/>
  <c r="G96" i="4"/>
  <c r="H96" i="4" s="1"/>
  <c r="G95" i="4"/>
  <c r="H95" i="4" s="1"/>
  <c r="G94" i="4"/>
  <c r="H94" i="4" s="1"/>
  <c r="H93" i="4"/>
  <c r="G93" i="4"/>
  <c r="G92" i="4"/>
  <c r="H92" i="4" s="1"/>
  <c r="G91" i="4"/>
  <c r="H91" i="4" s="1"/>
  <c r="G90" i="4"/>
  <c r="H90" i="4" s="1"/>
  <c r="G89" i="4"/>
  <c r="H89" i="4" s="1"/>
  <c r="G88" i="4"/>
  <c r="H88" i="4" s="1"/>
  <c r="G87" i="4"/>
  <c r="H87" i="4" s="1"/>
  <c r="G86" i="4"/>
  <c r="H86" i="4" s="1"/>
  <c r="H85" i="4"/>
  <c r="G85" i="4"/>
  <c r="G84" i="4"/>
  <c r="H84" i="4" s="1"/>
  <c r="G83" i="4"/>
  <c r="H83" i="4" s="1"/>
  <c r="G82" i="4"/>
  <c r="H82" i="4" s="1"/>
  <c r="G81" i="4"/>
  <c r="H81" i="4" s="1"/>
  <c r="G80" i="4"/>
  <c r="H80" i="4" s="1"/>
  <c r="G79" i="4"/>
  <c r="H79" i="4" s="1"/>
  <c r="G78" i="4"/>
  <c r="H78" i="4" s="1"/>
  <c r="H77" i="4"/>
  <c r="G77" i="4"/>
  <c r="G76" i="4"/>
  <c r="H76" i="4" s="1"/>
  <c r="G75" i="4"/>
  <c r="H75" i="4" s="1"/>
  <c r="G74" i="4"/>
  <c r="H74" i="4" s="1"/>
  <c r="G73" i="4"/>
  <c r="H73" i="4" s="1"/>
  <c r="G72" i="4"/>
  <c r="H72" i="4" s="1"/>
  <c r="G71" i="4"/>
  <c r="H71" i="4" s="1"/>
  <c r="G70" i="4"/>
  <c r="H70" i="4" s="1"/>
  <c r="H69" i="4"/>
  <c r="G69" i="4"/>
  <c r="G68" i="4"/>
  <c r="H68" i="4" s="1"/>
  <c r="G67" i="4"/>
  <c r="H67" i="4" s="1"/>
  <c r="G66" i="4"/>
  <c r="H66" i="4" s="1"/>
  <c r="G65" i="4"/>
  <c r="H65" i="4" s="1"/>
  <c r="G64" i="4"/>
  <c r="H64" i="4" s="1"/>
  <c r="G63" i="4"/>
  <c r="H63" i="4" s="1"/>
  <c r="G62" i="4"/>
  <c r="H62" i="4" s="1"/>
  <c r="H61" i="4"/>
  <c r="G61" i="4"/>
  <c r="G60" i="4"/>
  <c r="H60" i="4" s="1"/>
  <c r="G59" i="4"/>
  <c r="H59" i="4" s="1"/>
  <c r="G58" i="4"/>
  <c r="H58" i="4" s="1"/>
  <c r="G57" i="4"/>
  <c r="H57" i="4" s="1"/>
  <c r="G56" i="4"/>
  <c r="H56" i="4" s="1"/>
  <c r="G55" i="4"/>
  <c r="H55" i="4" s="1"/>
  <c r="G54" i="4"/>
  <c r="H54" i="4" s="1"/>
  <c r="H53" i="4"/>
  <c r="G53" i="4"/>
  <c r="G52" i="4"/>
  <c r="H52" i="4" s="1"/>
  <c r="G51" i="4"/>
  <c r="H51" i="4" s="1"/>
  <c r="G50" i="4"/>
  <c r="H50" i="4" s="1"/>
  <c r="G49" i="4"/>
  <c r="H49" i="4" s="1"/>
  <c r="G48" i="4"/>
  <c r="H48" i="4" s="1"/>
  <c r="G47" i="4"/>
  <c r="H47" i="4" s="1"/>
  <c r="G46" i="4"/>
  <c r="H46" i="4" s="1"/>
  <c r="H45" i="4"/>
  <c r="G45" i="4"/>
  <c r="G44" i="4"/>
  <c r="H44" i="4" s="1"/>
  <c r="G43" i="4"/>
  <c r="H43" i="4" s="1"/>
  <c r="G42" i="4"/>
  <c r="H42" i="4" s="1"/>
  <c r="G41" i="4"/>
  <c r="H41" i="4" s="1"/>
  <c r="G40" i="4"/>
  <c r="H40" i="4" s="1"/>
  <c r="G39" i="4"/>
  <c r="H39" i="4" s="1"/>
  <c r="G38" i="4"/>
  <c r="H38" i="4" s="1"/>
  <c r="H37" i="4"/>
  <c r="G37" i="4"/>
  <c r="G36" i="4"/>
  <c r="H36" i="4" s="1"/>
  <c r="G35" i="4"/>
  <c r="H35" i="4" s="1"/>
  <c r="G34" i="4"/>
  <c r="H34" i="4" s="1"/>
  <c r="G33" i="4"/>
  <c r="H33" i="4" s="1"/>
  <c r="G32" i="4"/>
  <c r="H32" i="4" s="1"/>
  <c r="G31" i="4"/>
  <c r="H31" i="4" s="1"/>
  <c r="G30" i="4"/>
  <c r="H30" i="4" s="1"/>
  <c r="H29" i="4"/>
  <c r="G29" i="4"/>
  <c r="G28" i="4"/>
  <c r="H28" i="4" s="1"/>
  <c r="G27" i="4"/>
  <c r="H27" i="4" s="1"/>
  <c r="G26" i="4"/>
  <c r="H26" i="4" s="1"/>
  <c r="G25" i="4"/>
  <c r="H25" i="4" s="1"/>
  <c r="G24" i="4"/>
  <c r="H24" i="4" s="1"/>
  <c r="G23" i="4"/>
  <c r="H23" i="4" s="1"/>
  <c r="G22" i="4"/>
  <c r="H22" i="4" s="1"/>
  <c r="H21" i="4"/>
  <c r="G21" i="4"/>
  <c r="G20" i="4"/>
  <c r="H20" i="4" s="1"/>
  <c r="G19" i="4"/>
  <c r="H19" i="4" s="1"/>
  <c r="G18" i="4"/>
  <c r="H18" i="4" s="1"/>
  <c r="G17" i="4"/>
  <c r="H17" i="4" s="1"/>
  <c r="G16" i="4"/>
  <c r="H16" i="4" s="1"/>
  <c r="G15" i="4"/>
  <c r="H15" i="4" s="1"/>
  <c r="G14" i="4"/>
  <c r="H14" i="4" s="1"/>
  <c r="H13" i="4"/>
  <c r="G13" i="4"/>
  <c r="G12" i="4"/>
  <c r="H12" i="4" s="1"/>
  <c r="G11" i="4"/>
  <c r="H11" i="4" s="1"/>
  <c r="G10" i="4"/>
  <c r="H10" i="4" s="1"/>
  <c r="G9" i="4"/>
  <c r="H9" i="4" s="1"/>
  <c r="G8" i="4"/>
  <c r="H8" i="4" s="1"/>
  <c r="G7" i="4"/>
  <c r="H7" i="4" s="1"/>
  <c r="G6" i="4"/>
  <c r="H6" i="4" s="1"/>
  <c r="H5" i="4"/>
  <c r="G5" i="4"/>
  <c r="G4" i="4"/>
  <c r="H4" i="4" s="1"/>
  <c r="G3" i="4"/>
  <c r="H3" i="4" s="1"/>
  <c r="G2" i="4"/>
  <c r="H2" i="4" s="1"/>
  <c r="G101" i="3"/>
  <c r="H101" i="3" s="1"/>
  <c r="G100" i="3"/>
  <c r="H100" i="3" s="1"/>
  <c r="G99" i="3"/>
  <c r="H99" i="3" s="1"/>
  <c r="G98" i="3"/>
  <c r="H98" i="3" s="1"/>
  <c r="H97" i="3"/>
  <c r="G97" i="3"/>
  <c r="G96" i="3"/>
  <c r="H96" i="3" s="1"/>
  <c r="G95" i="3"/>
  <c r="H95" i="3" s="1"/>
  <c r="G94" i="3"/>
  <c r="H94" i="3" s="1"/>
  <c r="G93" i="3"/>
  <c r="H93" i="3" s="1"/>
  <c r="G92" i="3"/>
  <c r="H92" i="3" s="1"/>
  <c r="G91" i="3"/>
  <c r="H91" i="3" s="1"/>
  <c r="G90" i="3"/>
  <c r="H90" i="3" s="1"/>
  <c r="H89" i="3"/>
  <c r="G89" i="3"/>
  <c r="G88" i="3"/>
  <c r="H88" i="3" s="1"/>
  <c r="G87" i="3"/>
  <c r="H87" i="3" s="1"/>
  <c r="G86" i="3"/>
  <c r="H86" i="3" s="1"/>
  <c r="G85" i="3"/>
  <c r="H85" i="3" s="1"/>
  <c r="G84" i="3"/>
  <c r="H84" i="3" s="1"/>
  <c r="G83" i="3"/>
  <c r="H83" i="3" s="1"/>
  <c r="G82" i="3"/>
  <c r="H82" i="3" s="1"/>
  <c r="H81" i="3"/>
  <c r="G81" i="3"/>
  <c r="G80" i="3"/>
  <c r="H80" i="3" s="1"/>
  <c r="G79" i="3"/>
  <c r="H79" i="3" s="1"/>
  <c r="G78" i="3"/>
  <c r="H78" i="3" s="1"/>
  <c r="G77" i="3"/>
  <c r="H77" i="3" s="1"/>
  <c r="G76" i="3"/>
  <c r="H76" i="3" s="1"/>
  <c r="G75" i="3"/>
  <c r="H75" i="3" s="1"/>
  <c r="G74" i="3"/>
  <c r="H74" i="3" s="1"/>
  <c r="H73" i="3"/>
  <c r="G73" i="3"/>
  <c r="G72" i="3"/>
  <c r="H72" i="3" s="1"/>
  <c r="G71" i="3"/>
  <c r="H71" i="3" s="1"/>
  <c r="G70" i="3"/>
  <c r="H70" i="3" s="1"/>
  <c r="G69" i="3"/>
  <c r="H69" i="3" s="1"/>
  <c r="G68" i="3"/>
  <c r="H68" i="3" s="1"/>
  <c r="G67" i="3"/>
  <c r="H67" i="3" s="1"/>
  <c r="G66" i="3"/>
  <c r="H66" i="3" s="1"/>
  <c r="H65" i="3"/>
  <c r="G65" i="3"/>
  <c r="G64" i="3"/>
  <c r="H64" i="3" s="1"/>
  <c r="G63" i="3"/>
  <c r="H63" i="3" s="1"/>
  <c r="G62" i="3"/>
  <c r="H62" i="3" s="1"/>
  <c r="G61" i="3"/>
  <c r="H61" i="3" s="1"/>
  <c r="G60" i="3"/>
  <c r="H60" i="3" s="1"/>
  <c r="G59" i="3"/>
  <c r="H59" i="3" s="1"/>
  <c r="G58" i="3"/>
  <c r="H58" i="3" s="1"/>
  <c r="H57" i="3"/>
  <c r="G57" i="3"/>
  <c r="G56" i="3"/>
  <c r="H56" i="3" s="1"/>
  <c r="G55" i="3"/>
  <c r="H55" i="3" s="1"/>
  <c r="G54" i="3"/>
  <c r="H54" i="3" s="1"/>
  <c r="G53" i="3"/>
  <c r="H53" i="3" s="1"/>
  <c r="G52" i="3"/>
  <c r="H52" i="3" s="1"/>
  <c r="G51" i="3"/>
  <c r="H51" i="3" s="1"/>
  <c r="G50" i="3"/>
  <c r="H50" i="3" s="1"/>
  <c r="H49" i="3"/>
  <c r="G49" i="3"/>
  <c r="G48" i="3"/>
  <c r="H48" i="3" s="1"/>
  <c r="G47" i="3"/>
  <c r="H47" i="3" s="1"/>
  <c r="G46" i="3"/>
  <c r="H46" i="3" s="1"/>
  <c r="G45" i="3"/>
  <c r="H45" i="3" s="1"/>
  <c r="G44" i="3"/>
  <c r="H44" i="3" s="1"/>
  <c r="G43" i="3"/>
  <c r="H43" i="3" s="1"/>
  <c r="G42" i="3"/>
  <c r="H42" i="3" s="1"/>
  <c r="H41" i="3"/>
  <c r="G41" i="3"/>
  <c r="G40" i="3"/>
  <c r="H40" i="3" s="1"/>
  <c r="G39" i="3"/>
  <c r="H39" i="3" s="1"/>
  <c r="G38" i="3"/>
  <c r="H38" i="3" s="1"/>
  <c r="G37" i="3"/>
  <c r="H37" i="3" s="1"/>
  <c r="G36" i="3"/>
  <c r="H36" i="3" s="1"/>
  <c r="G35" i="3"/>
  <c r="H35" i="3" s="1"/>
  <c r="G34" i="3"/>
  <c r="H34" i="3" s="1"/>
  <c r="H33" i="3"/>
  <c r="G33" i="3"/>
  <c r="G32" i="3"/>
  <c r="H32" i="3" s="1"/>
  <c r="G31" i="3"/>
  <c r="H31" i="3" s="1"/>
  <c r="G30" i="3"/>
  <c r="H30" i="3" s="1"/>
  <c r="G29" i="3"/>
  <c r="H29" i="3" s="1"/>
  <c r="G28" i="3"/>
  <c r="H28" i="3" s="1"/>
  <c r="G27" i="3"/>
  <c r="H27" i="3" s="1"/>
  <c r="G26" i="3"/>
  <c r="H26" i="3" s="1"/>
  <c r="H25" i="3"/>
  <c r="G25" i="3"/>
  <c r="G24" i="3"/>
  <c r="H24" i="3" s="1"/>
  <c r="G23" i="3"/>
  <c r="H23" i="3" s="1"/>
  <c r="G22" i="3"/>
  <c r="H22" i="3" s="1"/>
  <c r="G21" i="3"/>
  <c r="H21" i="3" s="1"/>
  <c r="G20" i="3"/>
  <c r="H20" i="3" s="1"/>
  <c r="G19" i="3"/>
  <c r="H19" i="3" s="1"/>
  <c r="G18" i="3"/>
  <c r="H18" i="3" s="1"/>
  <c r="H17" i="3"/>
  <c r="G17" i="3"/>
  <c r="G16" i="3"/>
  <c r="H16" i="3" s="1"/>
  <c r="G15" i="3"/>
  <c r="H15" i="3" s="1"/>
  <c r="G14" i="3"/>
  <c r="H14" i="3" s="1"/>
  <c r="G13" i="3"/>
  <c r="H13" i="3" s="1"/>
  <c r="G12" i="3"/>
  <c r="H12" i="3" s="1"/>
  <c r="G11" i="3"/>
  <c r="H11" i="3" s="1"/>
  <c r="G10" i="3"/>
  <c r="H10" i="3" s="1"/>
  <c r="H9" i="3"/>
  <c r="G9" i="3"/>
  <c r="G8" i="3"/>
  <c r="H8" i="3" s="1"/>
  <c r="G7" i="3"/>
  <c r="H7" i="3" s="1"/>
  <c r="G6" i="3"/>
  <c r="H6" i="3" s="1"/>
  <c r="G5" i="3"/>
  <c r="H5" i="3" s="1"/>
  <c r="G4" i="3"/>
  <c r="H4" i="3" s="1"/>
  <c r="G3" i="3"/>
  <c r="H3" i="3" s="1"/>
  <c r="G2" i="3"/>
  <c r="H2" i="3" s="1"/>
  <c r="H101" i="2"/>
  <c r="G101" i="2"/>
  <c r="G100" i="2"/>
  <c r="H100" i="2" s="1"/>
  <c r="G99" i="2"/>
  <c r="H99" i="2" s="1"/>
  <c r="G98" i="2"/>
  <c r="H98" i="2" s="1"/>
  <c r="G97" i="2"/>
  <c r="H97" i="2" s="1"/>
  <c r="G96" i="2"/>
  <c r="H96" i="2" s="1"/>
  <c r="G95" i="2"/>
  <c r="H95" i="2" s="1"/>
  <c r="G94" i="2"/>
  <c r="H94" i="2" s="1"/>
  <c r="H93" i="2"/>
  <c r="G93" i="2"/>
  <c r="G92" i="2"/>
  <c r="H92" i="2" s="1"/>
  <c r="G91" i="2"/>
  <c r="H91" i="2" s="1"/>
  <c r="G90" i="2"/>
  <c r="H90" i="2" s="1"/>
  <c r="G89" i="2"/>
  <c r="H89" i="2" s="1"/>
  <c r="G88" i="2"/>
  <c r="H88" i="2" s="1"/>
  <c r="G87" i="2"/>
  <c r="H87" i="2" s="1"/>
  <c r="G86" i="2"/>
  <c r="H86" i="2" s="1"/>
  <c r="H85" i="2"/>
  <c r="G85" i="2"/>
  <c r="G84" i="2"/>
  <c r="H84" i="2" s="1"/>
  <c r="G83" i="2"/>
  <c r="H83" i="2" s="1"/>
  <c r="G82" i="2"/>
  <c r="H82" i="2" s="1"/>
  <c r="G81" i="2"/>
  <c r="H81" i="2" s="1"/>
  <c r="G80" i="2"/>
  <c r="H80" i="2" s="1"/>
  <c r="G79" i="2"/>
  <c r="H79" i="2" s="1"/>
  <c r="G78" i="2"/>
  <c r="H78" i="2" s="1"/>
  <c r="H77" i="2"/>
  <c r="G77" i="2"/>
  <c r="G76" i="2"/>
  <c r="H76" i="2" s="1"/>
  <c r="G75" i="2"/>
  <c r="H75" i="2" s="1"/>
  <c r="G74" i="2"/>
  <c r="H74" i="2" s="1"/>
  <c r="G73" i="2"/>
  <c r="H73" i="2" s="1"/>
  <c r="G72" i="2"/>
  <c r="H72" i="2" s="1"/>
  <c r="G71" i="2"/>
  <c r="H71" i="2" s="1"/>
  <c r="G70" i="2"/>
  <c r="H70" i="2" s="1"/>
  <c r="H69" i="2"/>
  <c r="G69" i="2"/>
  <c r="G68" i="2"/>
  <c r="H68" i="2" s="1"/>
  <c r="G67" i="2"/>
  <c r="H67" i="2" s="1"/>
  <c r="G66" i="2"/>
  <c r="H66" i="2" s="1"/>
  <c r="G65" i="2"/>
  <c r="H65" i="2" s="1"/>
  <c r="G64" i="2"/>
  <c r="H64" i="2" s="1"/>
  <c r="G63" i="2"/>
  <c r="H63" i="2" s="1"/>
  <c r="G62" i="2"/>
  <c r="H62" i="2" s="1"/>
  <c r="H61" i="2"/>
  <c r="G61" i="2"/>
  <c r="G60" i="2"/>
  <c r="H60" i="2" s="1"/>
  <c r="G59" i="2"/>
  <c r="H59" i="2" s="1"/>
  <c r="G58" i="2"/>
  <c r="H58" i="2" s="1"/>
  <c r="G57" i="2"/>
  <c r="H57" i="2" s="1"/>
  <c r="G56" i="2"/>
  <c r="H56" i="2" s="1"/>
  <c r="G55" i="2"/>
  <c r="H55" i="2" s="1"/>
  <c r="G54" i="2"/>
  <c r="H54" i="2" s="1"/>
  <c r="H53" i="2"/>
  <c r="G53" i="2"/>
  <c r="G52" i="2"/>
  <c r="H52" i="2" s="1"/>
  <c r="G51" i="2"/>
  <c r="H51" i="2" s="1"/>
  <c r="G50" i="2"/>
  <c r="H50" i="2" s="1"/>
  <c r="G49" i="2"/>
  <c r="H49" i="2" s="1"/>
  <c r="G48" i="2"/>
  <c r="H48" i="2" s="1"/>
  <c r="G47" i="2"/>
  <c r="H47" i="2" s="1"/>
  <c r="G46" i="2"/>
  <c r="H46" i="2" s="1"/>
  <c r="H45" i="2"/>
  <c r="G45" i="2"/>
  <c r="G44" i="2"/>
  <c r="H44" i="2" s="1"/>
  <c r="G43" i="2"/>
  <c r="H43" i="2" s="1"/>
  <c r="G42" i="2"/>
  <c r="H42" i="2" s="1"/>
  <c r="G41" i="2"/>
  <c r="H41" i="2" s="1"/>
  <c r="G40" i="2"/>
  <c r="H40" i="2" s="1"/>
  <c r="G39" i="2"/>
  <c r="H39" i="2" s="1"/>
  <c r="G38" i="2"/>
  <c r="H38" i="2" s="1"/>
  <c r="H37" i="2"/>
  <c r="G37" i="2"/>
  <c r="G36" i="2"/>
  <c r="H36" i="2" s="1"/>
  <c r="G35" i="2"/>
  <c r="H35" i="2" s="1"/>
  <c r="G34" i="2"/>
  <c r="H34" i="2" s="1"/>
  <c r="G33" i="2"/>
  <c r="H33" i="2" s="1"/>
  <c r="G32" i="2"/>
  <c r="H32" i="2" s="1"/>
  <c r="G31" i="2"/>
  <c r="H31" i="2" s="1"/>
  <c r="G30" i="2"/>
  <c r="H30" i="2" s="1"/>
  <c r="H29" i="2"/>
  <c r="G29" i="2"/>
  <c r="G28" i="2"/>
  <c r="H28" i="2" s="1"/>
  <c r="G27" i="2"/>
  <c r="H27" i="2" s="1"/>
  <c r="G26" i="2"/>
  <c r="H26" i="2" s="1"/>
  <c r="G25" i="2"/>
  <c r="H25" i="2" s="1"/>
  <c r="G24" i="2"/>
  <c r="H24" i="2" s="1"/>
  <c r="G23" i="2"/>
  <c r="H23" i="2" s="1"/>
  <c r="G22" i="2"/>
  <c r="H22" i="2" s="1"/>
  <c r="H21" i="2"/>
  <c r="G21" i="2"/>
  <c r="G20" i="2"/>
  <c r="H20" i="2" s="1"/>
  <c r="G19" i="2"/>
  <c r="H19" i="2" s="1"/>
  <c r="G18" i="2"/>
  <c r="H18" i="2" s="1"/>
  <c r="G17" i="2"/>
  <c r="H17" i="2" s="1"/>
  <c r="G16" i="2"/>
  <c r="H16" i="2" s="1"/>
  <c r="G15" i="2"/>
  <c r="H15" i="2" s="1"/>
  <c r="G14" i="2"/>
  <c r="H14" i="2" s="1"/>
  <c r="H13" i="2"/>
  <c r="G13" i="2"/>
  <c r="G12" i="2"/>
  <c r="H12" i="2" s="1"/>
  <c r="G11" i="2"/>
  <c r="H11" i="2" s="1"/>
  <c r="G10" i="2"/>
  <c r="H10" i="2" s="1"/>
  <c r="G9" i="2"/>
  <c r="H9" i="2" s="1"/>
  <c r="G8" i="2"/>
  <c r="H8" i="2" s="1"/>
  <c r="G7" i="2"/>
  <c r="H7" i="2" s="1"/>
  <c r="G6" i="2"/>
  <c r="H6" i="2" s="1"/>
  <c r="H5" i="2"/>
  <c r="G5" i="2"/>
  <c r="G4" i="2"/>
  <c r="H4" i="2" s="1"/>
  <c r="G3" i="2"/>
  <c r="H3" i="2" s="1"/>
  <c r="G2" i="2"/>
  <c r="H2" i="2" s="1"/>
</calcChain>
</file>

<file path=xl/sharedStrings.xml><?xml version="1.0" encoding="utf-8"?>
<sst xmlns="http://schemas.openxmlformats.org/spreadsheetml/2006/main" count="849" uniqueCount="195">
  <si>
    <t>Par Levels Report — Retail Stores</t>
  </si>
  <si>
    <t>What changed from the original file</t>
  </si>
  <si>
    <t>Split into one tab per store instead of all 5 locations mixed together in one long list. The confusing "Total Units Sold (full window)" column has been removed from each store tab — that number was actually the item's combined sales total across all 4 stores, repeated identically on every row regardless of which store the row was for. That made it look like items had sales at the Warehouse (which never sells to customers), when the real store-specific numbers next to it were correctly zero.</t>
  </si>
  <si>
    <t>Warehouse</t>
  </si>
  <si>
    <t>The Warehouse is excluded from this file since it does not sell to customers — a sales-based par level does not apply to it. Warehouse par levels are calculated separately, based on transfer-out volume to stores, in Warehouse_Par_Levels_Report.xlsx.</t>
  </si>
  <si>
    <t>How many days of demand to cover between placing an order and receiving it.</t>
  </si>
  <si>
    <t>Safety Buffer %</t>
  </si>
  <si>
    <t>Extra cushion on top of lead-time demand, to absorb sales spikes.</t>
  </si>
  <si>
    <t>Order Cycle (days)</t>
  </si>
  <si>
    <t>How often you place reorders for this item category. Used to size Par Level beyond the Reorder Level.</t>
  </si>
  <si>
    <t>Reorder Level vs. Par Level</t>
  </si>
  <si>
    <t>Reorder Level = the point at which you should place a new order. Formula: Avg Daily Units x Lead Time (days) x (1 + Safety Buffer %), rounded up. Covers you through the lead time only.
Par Level = the stocking target -- how much you want on hand right after restocking. Formula: Reorder Level + (Avg Daily Units x Order Cycle days), rounded up. Covers you through the lead time AND the following order cycle.</t>
  </si>
  <si>
    <t>Tabs in this file</t>
  </si>
  <si>
    <t>- Las Olas — top 100 items by units sold at this store</t>
  </si>
  <si>
    <t>- Bayview — top 100 items by units sold at this store</t>
  </si>
  <si>
    <t>- Beach — top 100 items by units sold at this store</t>
  </si>
  <si>
    <t>- Sunrise — top 100 items by units sold at this store</t>
  </si>
  <si>
    <t>SKU</t>
  </si>
  <si>
    <t>Item Name</t>
  </si>
  <si>
    <t>Units Sold (Last 90 Days)</t>
  </si>
  <si>
    <t>Avg Daily Units</t>
  </si>
  <si>
    <t>Gappy Sales Pattern</t>
  </si>
  <si>
    <t>Spiky Sales Pattern</t>
  </si>
  <si>
    <t>Reorder Level</t>
  </si>
  <si>
    <t>Par Level (Stocking Target)</t>
  </si>
  <si>
    <t>2.1E+11</t>
  </si>
  <si>
    <t>HEETS RED FOR IQOS</t>
  </si>
  <si>
    <t>HEETS IQOS AMBER</t>
  </si>
  <si>
    <t>2.1E+12</t>
  </si>
  <si>
    <t>RED SINGLE SOLO CUP</t>
  </si>
  <si>
    <t>6.19947E+11</t>
  </si>
  <si>
    <t>TITOS HANDMADE VODKA 80 50ML</t>
  </si>
  <si>
    <t>7.93573E+11</t>
  </si>
  <si>
    <t>NATUZZI ICE BAG 10 LB</t>
  </si>
  <si>
    <t>70330604599</t>
  </si>
  <si>
    <t>BIC LIGHTER</t>
  </si>
  <si>
    <t>ZEPHYRHILLS 500ML (16.9 OUNCE) SINGLE</t>
  </si>
  <si>
    <t>TIP TOP BEE'S KNEES Single Can 100ml</t>
  </si>
  <si>
    <t>4904403</t>
  </si>
  <si>
    <t>COCA COLA 20OZ</t>
  </si>
  <si>
    <t>88004144708</t>
  </si>
  <si>
    <t>FIREBALL 50ML</t>
  </si>
  <si>
    <t>2838423</t>
  </si>
  <si>
    <t>MARLBORO GOLD CIGARETTE BOX</t>
  </si>
  <si>
    <t>TITOS HANDMADE VODKA 80 1.75L</t>
  </si>
  <si>
    <t>283572</t>
  </si>
  <si>
    <t>MARLBORO RED SHORTS</t>
  </si>
  <si>
    <t>8567507</t>
  </si>
  <si>
    <t>NEW AMSTERDAM PINK WHITNEY 50ML</t>
  </si>
  <si>
    <t>HEETS BRONZE FOR IQOS</t>
  </si>
  <si>
    <t>HEETS GREEN FOR IQOS</t>
  </si>
  <si>
    <t>MINI</t>
  </si>
  <si>
    <t>MINI ICE BAGS</t>
  </si>
  <si>
    <t>71610203648</t>
  </si>
  <si>
    <t>DUCTH BERRY FUSION 2PK</t>
  </si>
  <si>
    <t>52000324815</t>
  </si>
  <si>
    <t>Gatorade Cool Blue 20oz</t>
  </si>
  <si>
    <t>497640</t>
  </si>
  <si>
    <t>SPRITE 20OZ</t>
  </si>
  <si>
    <t>6.1127E+11</t>
  </si>
  <si>
    <t>Red bull 12oz</t>
  </si>
  <si>
    <t>6.32565E+11</t>
  </si>
  <si>
    <t>FIJI 500ML SINGLE</t>
  </si>
  <si>
    <t>LIMES</t>
  </si>
  <si>
    <t>6.74545E+11</t>
  </si>
  <si>
    <t>DON JULIO REPO 50ML</t>
  </si>
  <si>
    <t>1852424</t>
  </si>
  <si>
    <t>MICHELOB ULTRA 16OZ CAN</t>
  </si>
  <si>
    <t>8588005</t>
  </si>
  <si>
    <t>NEW AMSTERDAM VODKA 80 50ML</t>
  </si>
  <si>
    <t>490450</t>
  </si>
  <si>
    <t>DIET COKE 20OZ</t>
  </si>
  <si>
    <t>RED BULL 8.4OZ</t>
  </si>
  <si>
    <t>76737124562</t>
  </si>
  <si>
    <t>EVERFRESH PINEAPPLE 16OZ GLASS BOTTLE</t>
  </si>
  <si>
    <t>80660956886</t>
  </si>
  <si>
    <t>CORONA EXTRA 16OZ CAN</t>
  </si>
  <si>
    <t>52000204087</t>
  </si>
  <si>
    <t>Gatorade Fruit Punch 20oz</t>
  </si>
  <si>
    <t>SURFSIDE LEMONADE 8 PACK</t>
  </si>
  <si>
    <t>52000328677</t>
  </si>
  <si>
    <t>Gatorade Orange 20oz</t>
  </si>
  <si>
    <t>74780515504</t>
  </si>
  <si>
    <t>MAISON PERRIER SPARKLING WATER 500ML</t>
  </si>
  <si>
    <t>496340</t>
  </si>
  <si>
    <t>Coke 12oz Single Can</t>
  </si>
  <si>
    <t>49000037197</t>
  </si>
  <si>
    <t>SPRITE ZERO SUGAR 20OZ</t>
  </si>
  <si>
    <t>TITOS 750ML</t>
  </si>
  <si>
    <t>31200200075</t>
  </si>
  <si>
    <t>OCEAN SPRAY CRANBERRY 64OZ</t>
  </si>
  <si>
    <t>86024007874</t>
  </si>
  <si>
    <t>MARGARITAVILLE SILVER TEQ 50ML</t>
  </si>
  <si>
    <t>49000050103</t>
  </si>
  <si>
    <t>COCA COLA 2L</t>
  </si>
  <si>
    <t>85000012017</t>
  </si>
  <si>
    <t>WHITEHAVEN SAUVIGNON BLANC 750ML</t>
  </si>
  <si>
    <t>1.93968E+11</t>
  </si>
  <si>
    <t>MEMBERS MARK ORANGE JUICE 1.5L</t>
  </si>
  <si>
    <t>86024007997</t>
  </si>
  <si>
    <t>MARGARITAVILLE  GOLD TEQ 50ML</t>
  </si>
  <si>
    <t>18200250101</t>
  </si>
  <si>
    <t>MICH ULTRA 25OZ</t>
  </si>
  <si>
    <t>80686001904</t>
  </si>
  <si>
    <t>JIM BEAM BOURBON 80 PET 50ML</t>
  </si>
  <si>
    <t>7.86162E+11</t>
  </si>
  <si>
    <t>SMART WATER 20oz</t>
  </si>
  <si>
    <t>TRUE LIME PACKETS 1 PACKET = 1 WEDGE</t>
  </si>
  <si>
    <t>73430005006</t>
  </si>
  <si>
    <t>Zephyrhills 1.5L</t>
  </si>
  <si>
    <t>SMART WATER SPORTS CAP 700ML</t>
  </si>
  <si>
    <t>73430562226</t>
  </si>
  <si>
    <t>ZEPHYRHILLS 23.7OZ Sports Cap</t>
  </si>
  <si>
    <t>8.98999E+11</t>
  </si>
  <si>
    <t>VITA COCO COCONUT WATER 500ML CARTON</t>
  </si>
  <si>
    <t>31200009906</t>
  </si>
  <si>
    <t>OCEAN SPRAY CRANBERRY 15.2FL OZ</t>
  </si>
  <si>
    <t>70137100188</t>
  </si>
  <si>
    <t>BLACK &amp; MILD REGULAR PLASTIC SINGLE</t>
  </si>
  <si>
    <t>6.57227E+11</t>
  </si>
  <si>
    <t>ESSENTIA IONIZED 1L</t>
  </si>
  <si>
    <t>48500018668</t>
  </si>
  <si>
    <t>TROPICANA LEMONADE 11.oz</t>
  </si>
  <si>
    <t>TITOS HANDMADE VODKA 80  375ML</t>
  </si>
  <si>
    <t>49000040869</t>
  </si>
  <si>
    <t>COCA COLA ZERO SUGAR 20OZ</t>
  </si>
  <si>
    <t>265751</t>
  </si>
  <si>
    <t>NEWPORT SHORT'S BOX</t>
  </si>
  <si>
    <t>TITOS HANDMADE VODKA 80 1L</t>
  </si>
  <si>
    <t>48500008614</t>
  </si>
  <si>
    <t>Tropicana  Apple 15.2oz</t>
  </si>
  <si>
    <t>52000043549</t>
  </si>
  <si>
    <t>GATORADE GLACIER FREEZE ZERO 20OZ</t>
  </si>
  <si>
    <t>RAW PREROLLS THC 2G</t>
  </si>
  <si>
    <t>52000204094</t>
  </si>
  <si>
    <t>Gatorade Lemon  Lime 20oz</t>
  </si>
  <si>
    <t>80660957609</t>
  </si>
  <si>
    <t>MODELO ESPECIAL 16OZ CAN</t>
  </si>
  <si>
    <t>DON JULIO TEQUILA REPOSADO 80 750ML</t>
  </si>
  <si>
    <t>78000146455</t>
  </si>
  <si>
    <t>CANADA DRY CLUB SODA 1L</t>
  </si>
  <si>
    <t>79298400113</t>
  </si>
  <si>
    <t>EVIAN SPORT TOP 750ML SINGLE</t>
  </si>
  <si>
    <t>MEMBERS MARK STRAWBERRY LEMONADE 1.5L</t>
  </si>
  <si>
    <t>283632</t>
  </si>
  <si>
    <t>MARLBORO RED 100 CIGARETTE BOX</t>
  </si>
  <si>
    <t>BEATBOX BLUE RAZBERRY 500ML</t>
  </si>
  <si>
    <t>49000050158</t>
  </si>
  <si>
    <t>SPRITE 2L</t>
  </si>
  <si>
    <t>8.16751E+11</t>
  </si>
  <si>
    <t>CUTWATER LIME MARGARITA 4PK</t>
  </si>
  <si>
    <t>88004009373</t>
  </si>
  <si>
    <t>FIREBALL 100ML</t>
  </si>
  <si>
    <t>8.50026E+11</t>
  </si>
  <si>
    <t>SURFSIDE ICED TEA STARTER 8 PACK</t>
  </si>
  <si>
    <t>8.57641E+11</t>
  </si>
  <si>
    <t>BUZZBALLZ STRAWBERRY MARGARITA 200ML</t>
  </si>
  <si>
    <t>78000152401</t>
  </si>
  <si>
    <t>CANADA DRY GINGER ALE 20OZ</t>
  </si>
  <si>
    <t>96749908516</t>
  </si>
  <si>
    <t>LUNAZUL TEQ BLANCO 50ML</t>
  </si>
  <si>
    <t>14800582000</t>
  </si>
  <si>
    <t>REAL LIME JUICE 2.5OZ SQUEEZE</t>
  </si>
  <si>
    <t>76737200693</t>
  </si>
  <si>
    <t>EVERFRESH PINEAPPLE 32OZ</t>
  </si>
  <si>
    <t>DON JULIO REPO 375ML</t>
  </si>
  <si>
    <t>824720</t>
  </si>
  <si>
    <t>SMIRNOFF VODKA 80 50ML</t>
  </si>
  <si>
    <t>DEEP EDDY PINEAPPLE 50ml</t>
  </si>
  <si>
    <t>SUN CRUISER VODKA LEMONADE 8PK</t>
  </si>
  <si>
    <t>DORITOS NACHO CHEESE</t>
  </si>
  <si>
    <t>SMIRNOFF VODKA 80 375ML</t>
  </si>
  <si>
    <t>85000017739</t>
  </si>
  <si>
    <t>LAMARCA PROSECCO 750ML</t>
  </si>
  <si>
    <t>FIJI 1.5L SINGLE</t>
  </si>
  <si>
    <t>70847005070</t>
  </si>
  <si>
    <t>MONSTER ENERGY GREEN 16OZ</t>
  </si>
  <si>
    <t>SUPER LYTE  VODKA +ADE 8 PACK VARIETY</t>
  </si>
  <si>
    <t>491320</t>
  </si>
  <si>
    <t>Sprite 12oz Single Can</t>
  </si>
  <si>
    <t>FIJI 700 ML SPORT CAP</t>
  </si>
  <si>
    <t>83089660105</t>
  </si>
  <si>
    <t>JAGERMEISTER 50ML</t>
  </si>
  <si>
    <t>41508800082</t>
  </si>
  <si>
    <t>San Pellegrino 500ML</t>
  </si>
  <si>
    <t>85000029862</t>
  </si>
  <si>
    <t>HIGH NOON  VARIETY 12PK VARIETY 12oz</t>
  </si>
  <si>
    <t>25900227333</t>
  </si>
  <si>
    <t>SWISHER SWEETS 2PK</t>
  </si>
  <si>
    <t>BLACK N MILD JAZZ</t>
  </si>
  <si>
    <t>SMART WATER 1L BOTTLES</t>
  </si>
  <si>
    <t>18200261244</t>
  </si>
  <si>
    <t>STELLA  ARTOIS 25OZ</t>
  </si>
  <si>
    <t>TITOS HANDMADE VODKA 80 200ML</t>
  </si>
  <si>
    <t>ICE CUPS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</si>
</sst>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5295"/>
      <name val="Arial"/>
      <charset val="1"/>
    </font>
    <font>
      <b/>
      <sz val="11"/>
      <name val="Arial"/>
      <charset val="1"/>
    </font>
    <font>
      <sz val="10"/>
      <name val="Arial"/>
      <charset val="1"/>
    </font>
    <font>
      <sz val="11"/>
      <color rgb="FF0000FF"/>
      <name val="Arial"/>
      <charset val="1"/>
    </font>
    <font>
      <i/>
      <sz val="9"/>
      <color rgb="FF666666"/>
      <name val="Arial"/>
      <charset val="1"/>
    </font>
    <font>
      <b/>
      <sz val="11"/>
      <color rgb="FFFFFFFF"/>
      <name val="Arial"/>
      <charset val="1"/>
    </font>
    <font>
      <b/>
      <sz val="10"/>
      <name val="Arial"/>
      <charset val="1"/>
    </font>
  </fonts>
  <fills count="4">
    <fill>
      <patternFill patternType="none"/>
    </fill>
    <fill>
      <patternFill patternType="gray125"/>
    </fill>
    <fill>
      <patternFill patternType="solid">
        <fgColor rgb="FFFFFF00"/>
        <bgColor rgb="FFFFFF00"/>
      </patternFill>
    </fill>
    <fill>
      <patternFill patternType="solid">
        <fgColor rgb="FF1F5295"/>
        <bgColor rgb="FF0066CC"/>
      </patternFill>
    </fill>
  </fills>
  <borders count="2">
    <border>
      <left/>
      <right/>
      <top/>
      <bottom/>
      <diagonal/>
    </border>
    <border>
      <left/>
      <right/>
      <top/>
      <bottom style="thin">
        <color rgb="FFCCCCCC"/>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1" fillId="0" borderId="0" xfId="0" applyFont="1"/>
    <xf numFmtId="0" fontId="2" fillId="0" borderId="0" xfId="0" applyFont="1"/>
    <xf numFmtId="0" fontId="3" fillId="0" borderId="0" xfId="0" applyFont="1" applyAlignment="1">
      <alignment vertical="top" wrapText="1"/>
    </xf>
    <xf numFmtId="0" fontId="3" fillId="0" borderId="0" xfId="0" applyFont="1"/>
    <xf numFmtId="0" fontId="4" fillId="2" borderId="0" xfId="0" applyFont="1" applyFill="1"/>
    <xf numFmtId="0" fontId="5" fillId="0" borderId="0" xfId="0" applyFont="1"/>
    <xf numFmtId="9" fontId="4" fillId="2" borderId="0" xfId="0" applyNumberFormat="1" applyFont="1" applyFill="1"/>
    <xf numFmtId="0" fontId="6" fillId="3" borderId="0" xfId="0" applyFont="1" applyFill="1" applyAlignment="1">
      <alignment horizontal="center" vertical="center" wrapText="1"/>
    </xf>
    <xf numFmtId="0" fontId="3" fillId="0" borderId="1" xfId="0" applyFont="1" applyBorder="1"/>
    <xf numFmtId="2" fontId="3" fillId="0" borderId="1" xfId="0" applyNumberFormat="1" applyFont="1" applyBorder="1"/>
    <xf numFmtId="0" fontId="7"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52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zoomScaleNormal="100" workbookViewId="0"/>
  </sheetViews>
  <sheetFormatPr defaultColWidth="8.7109375" defaultRowHeight="15" x14ac:dyDescent="0.25"/>
  <cols>
    <col min="1" max="1" width="90" customWidth="1"/>
    <col min="2" max="2" width="20" customWidth="1"/>
    <col min="3" max="3" width="60" customWidth="1"/>
  </cols>
  <sheetData>
    <row r="1" spans="1:3" ht="18" x14ac:dyDescent="0.25">
      <c r="A1" s="2" t="s">
        <v>0</v>
      </c>
    </row>
    <row r="3" spans="1:3" x14ac:dyDescent="0.25">
      <c r="A3" s="3" t="s">
        <v>1</v>
      </c>
    </row>
    <row r="4" spans="1:3" ht="84.75" customHeight="1" x14ac:dyDescent="0.25">
      <c r="A4" s="4" t="s">
        <v>2</v>
      </c>
    </row>
    <row r="6" spans="1:3" x14ac:dyDescent="0.25">
      <c r="A6" s="3" t="s">
        <v>3</v>
      </c>
    </row>
    <row r="7" spans="1:3" ht="45" customHeight="1" x14ac:dyDescent="0.25">
      <c r="A7" s="4" t="s">
        <v>4</v>
      </c>
    </row>
    <row r="9" spans="1:3" x14ac:dyDescent="0.25">
      <c r="A9" s="3"/>
    </row>
    <row r="10" spans="1:3" x14ac:dyDescent="0.25">
      <c r="A10" s="5"/>
    </row>
    <row r="11" spans="1:3" x14ac:dyDescent="0.25">
      <c r="A11" s="5"/>
    </row>
    <row r="12" spans="1:3" x14ac:dyDescent="0.25">
      <c r="A12" s="3"/>
    </row>
    <row r="13" spans="1:3" x14ac:dyDescent="0.25">
      <c r="A13" s="5"/>
      <c r="B13" s="6">
        <v>7</v>
      </c>
      <c r="C13" s="7" t="s">
        <v>5</v>
      </c>
    </row>
    <row r="14" spans="1:3" x14ac:dyDescent="0.25">
      <c r="A14" s="5" t="s">
        <v>6</v>
      </c>
      <c r="B14" s="8">
        <v>0.25</v>
      </c>
      <c r="C14" s="7" t="s">
        <v>7</v>
      </c>
    </row>
    <row r="15" spans="1:3" x14ac:dyDescent="0.25">
      <c r="A15" s="5" t="s">
        <v>8</v>
      </c>
      <c r="B15" s="6">
        <v>14</v>
      </c>
      <c r="C15" s="7" t="s">
        <v>9</v>
      </c>
    </row>
    <row r="17" spans="1:3" x14ac:dyDescent="0.25">
      <c r="A17" s="3" t="s">
        <v>10</v>
      </c>
    </row>
    <row r="18" spans="1:3" ht="99.75" customHeight="1" x14ac:dyDescent="0.25">
      <c r="A18" s="1" t="s">
        <v>11</v>
      </c>
      <c r="B18" s="1"/>
      <c r="C18" s="1"/>
    </row>
    <row r="20" spans="1:3" x14ac:dyDescent="0.25">
      <c r="A20" s="3" t="s">
        <v>12</v>
      </c>
    </row>
    <row r="21" spans="1:3" x14ac:dyDescent="0.25">
      <c r="A21" s="5" t="s">
        <v>13</v>
      </c>
    </row>
    <row r="22" spans="1:3" x14ac:dyDescent="0.25">
      <c r="A22" s="5" t="s">
        <v>14</v>
      </c>
    </row>
    <row r="23" spans="1:3" x14ac:dyDescent="0.25">
      <c r="A23" s="5" t="s">
        <v>15</v>
      </c>
    </row>
    <row r="24" spans="1:3" x14ac:dyDescent="0.25">
      <c r="A24" s="5" t="s">
        <v>16</v>
      </c>
    </row>
  </sheetData>
  <mergeCells count="1">
    <mergeCell ref="A18:C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2" width="45" customWidth="1"/>
    <col min="3" max="3" width="22" customWidth="1"/>
    <col min="4" max="4" width="16" customWidth="1"/>
    <col min="5" max="7" width="18" customWidth="1"/>
    <col min="8" max="8" width="24" customWidth="1"/>
  </cols>
  <sheetData>
    <row r="1" spans="1:8" ht="30" customHeight="1" x14ac:dyDescent="0.25">
      <c r="A1" s="9" t="s">
        <v>17</v>
      </c>
      <c r="B1" s="9" t="s">
        <v>18</v>
      </c>
      <c r="C1" s="9" t="s">
        <v>19</v>
      </c>
      <c r="D1" s="9" t="s">
        <v>20</v>
      </c>
      <c r="E1" s="9" t="s">
        <v>21</v>
      </c>
      <c r="F1" s="9" t="s">
        <v>22</v>
      </c>
      <c r="G1" s="9" t="s">
        <v>23</v>
      </c>
      <c r="H1" s="9" t="s">
        <v>24</v>
      </c>
    </row>
    <row r="2" spans="1:8" x14ac:dyDescent="0.25">
      <c r="A2" s="10" t="s">
        <v>25</v>
      </c>
      <c r="B2" s="10" t="s">
        <v>26</v>
      </c>
      <c r="C2" s="10">
        <v>119</v>
      </c>
      <c r="D2" s="11">
        <v>1.3220000000000001</v>
      </c>
      <c r="E2" s="10"/>
      <c r="F2" s="10"/>
      <c r="G2" s="12">
        <f>ROUNDUP(D2*README!$B$13*(1+README!$B$14),0)</f>
        <v>12</v>
      </c>
      <c r="H2" s="12">
        <f>G2+ROUNDUP(D2*README!$B$15,0)</f>
        <v>31</v>
      </c>
    </row>
    <row r="3" spans="1:8" x14ac:dyDescent="0.25">
      <c r="A3" s="10" t="s">
        <v>25</v>
      </c>
      <c r="B3" s="10" t="s">
        <v>27</v>
      </c>
      <c r="C3" s="10">
        <v>94</v>
      </c>
      <c r="D3" s="11">
        <v>1.044</v>
      </c>
      <c r="E3" s="10"/>
      <c r="F3" s="10"/>
      <c r="G3" s="12">
        <f>ROUNDUP(D3*README!$B$13*(1+README!$B$14),0)</f>
        <v>10</v>
      </c>
      <c r="H3" s="12">
        <f>G3+ROUNDUP(D3*README!$B$15,0)</f>
        <v>25</v>
      </c>
    </row>
    <row r="4" spans="1:8" x14ac:dyDescent="0.25">
      <c r="A4" s="10" t="s">
        <v>28</v>
      </c>
      <c r="B4" s="10" t="s">
        <v>29</v>
      </c>
      <c r="C4" s="10">
        <v>74</v>
      </c>
      <c r="D4" s="11">
        <v>0.82199999999999995</v>
      </c>
      <c r="E4" s="10"/>
      <c r="F4" s="10"/>
      <c r="G4" s="12">
        <f>ROUNDUP(D4*README!$B$13*(1+README!$B$14),0)</f>
        <v>8</v>
      </c>
      <c r="H4" s="12">
        <f>G4+ROUNDUP(D4*README!$B$15,0)</f>
        <v>20</v>
      </c>
    </row>
    <row r="5" spans="1:8" x14ac:dyDescent="0.25">
      <c r="A5" s="10" t="s">
        <v>30</v>
      </c>
      <c r="B5" s="10" t="s">
        <v>31</v>
      </c>
      <c r="C5" s="10">
        <v>44</v>
      </c>
      <c r="D5" s="11">
        <v>0.48899999999999999</v>
      </c>
      <c r="E5" s="10"/>
      <c r="F5" s="10"/>
      <c r="G5" s="12">
        <f>ROUNDUP(D5*README!$B$13*(1+README!$B$14),0)</f>
        <v>5</v>
      </c>
      <c r="H5" s="12">
        <f>G5+ROUNDUP(D5*README!$B$15,0)</f>
        <v>12</v>
      </c>
    </row>
    <row r="6" spans="1:8" x14ac:dyDescent="0.25">
      <c r="A6" s="10" t="s">
        <v>32</v>
      </c>
      <c r="B6" s="10" t="s">
        <v>33</v>
      </c>
      <c r="C6" s="10">
        <v>45</v>
      </c>
      <c r="D6" s="11">
        <v>0.5</v>
      </c>
      <c r="E6" s="10"/>
      <c r="F6" s="10"/>
      <c r="G6" s="12">
        <f>ROUNDUP(D6*README!$B$13*(1+README!$B$14),0)</f>
        <v>5</v>
      </c>
      <c r="H6" s="12">
        <f>G6+ROUNDUP(D6*README!$B$15,0)</f>
        <v>12</v>
      </c>
    </row>
    <row r="7" spans="1:8" x14ac:dyDescent="0.25">
      <c r="A7" s="10" t="s">
        <v>34</v>
      </c>
      <c r="B7" s="10" t="s">
        <v>35</v>
      </c>
      <c r="C7" s="10">
        <v>32</v>
      </c>
      <c r="D7" s="11">
        <v>0.35599999999999998</v>
      </c>
      <c r="E7" s="10"/>
      <c r="F7" s="10"/>
      <c r="G7" s="12">
        <f>ROUNDUP(D7*README!$B$13*(1+README!$B$14),0)</f>
        <v>4</v>
      </c>
      <c r="H7" s="12">
        <f>G7+ROUNDUP(D7*README!$B$15,0)</f>
        <v>9</v>
      </c>
    </row>
    <row r="8" spans="1:8" x14ac:dyDescent="0.25">
      <c r="A8" s="10" t="s">
        <v>25</v>
      </c>
      <c r="B8" s="10" t="s">
        <v>36</v>
      </c>
      <c r="C8" s="10">
        <v>32</v>
      </c>
      <c r="D8" s="11">
        <v>0.35599999999999998</v>
      </c>
      <c r="E8" s="10"/>
      <c r="F8" s="10"/>
      <c r="G8" s="12">
        <f>ROUNDUP(D8*README!$B$13*(1+README!$B$14),0)</f>
        <v>4</v>
      </c>
      <c r="H8" s="12">
        <f>G8+ROUNDUP(D8*README!$B$15,0)</f>
        <v>9</v>
      </c>
    </row>
    <row r="9" spans="1:8" x14ac:dyDescent="0.25">
      <c r="A9" s="10" t="s">
        <v>25</v>
      </c>
      <c r="B9" s="10" t="s">
        <v>37</v>
      </c>
      <c r="C9" s="10">
        <v>33</v>
      </c>
      <c r="D9" s="11">
        <v>0.36699999999999999</v>
      </c>
      <c r="E9" s="10"/>
      <c r="F9" s="10"/>
      <c r="G9" s="12">
        <f>ROUNDUP(D9*README!$B$13*(1+README!$B$14),0)</f>
        <v>4</v>
      </c>
      <c r="H9" s="12">
        <f>G9+ROUNDUP(D9*README!$B$15,0)</f>
        <v>10</v>
      </c>
    </row>
    <row r="10" spans="1:8" x14ac:dyDescent="0.25">
      <c r="A10" s="10" t="s">
        <v>38</v>
      </c>
      <c r="B10" s="10" t="s">
        <v>39</v>
      </c>
      <c r="C10" s="10">
        <v>22</v>
      </c>
      <c r="D10" s="11">
        <v>0.24399999999999999</v>
      </c>
      <c r="E10" s="10"/>
      <c r="F10" s="10"/>
      <c r="G10" s="12">
        <f>ROUNDUP(D10*README!$B$13*(1+README!$B$14),0)</f>
        <v>3</v>
      </c>
      <c r="H10" s="12">
        <f>G10+ROUNDUP(D10*README!$B$15,0)</f>
        <v>7</v>
      </c>
    </row>
    <row r="11" spans="1:8" x14ac:dyDescent="0.25">
      <c r="A11" s="10" t="s">
        <v>40</v>
      </c>
      <c r="B11" s="10" t="s">
        <v>41</v>
      </c>
      <c r="C11" s="10">
        <v>29</v>
      </c>
      <c r="D11" s="11">
        <v>0.32200000000000001</v>
      </c>
      <c r="E11" s="10"/>
      <c r="F11" s="10"/>
      <c r="G11" s="12">
        <f>ROUNDUP(D11*README!$B$13*(1+README!$B$14),0)</f>
        <v>3</v>
      </c>
      <c r="H11" s="12">
        <f>G11+ROUNDUP(D11*README!$B$15,0)</f>
        <v>8</v>
      </c>
    </row>
    <row r="12" spans="1:8" x14ac:dyDescent="0.25">
      <c r="A12" s="10" t="s">
        <v>42</v>
      </c>
      <c r="B12" s="10" t="s">
        <v>43</v>
      </c>
      <c r="C12" s="10">
        <v>26</v>
      </c>
      <c r="D12" s="11">
        <v>0.28899999999999998</v>
      </c>
      <c r="E12" s="10"/>
      <c r="F12" s="10"/>
      <c r="G12" s="12">
        <f>ROUNDUP(D12*README!$B$13*(1+README!$B$14),0)</f>
        <v>3</v>
      </c>
      <c r="H12" s="12">
        <f>G12+ROUNDUP(D12*README!$B$15,0)</f>
        <v>8</v>
      </c>
    </row>
    <row r="13" spans="1:8" x14ac:dyDescent="0.25">
      <c r="A13" s="10" t="s">
        <v>30</v>
      </c>
      <c r="B13" s="10" t="s">
        <v>44</v>
      </c>
      <c r="C13" s="10">
        <v>28</v>
      </c>
      <c r="D13" s="11">
        <v>0.311</v>
      </c>
      <c r="E13" s="10"/>
      <c r="F13" s="10"/>
      <c r="G13" s="12">
        <f>ROUNDUP(D13*README!$B$13*(1+README!$B$14),0)</f>
        <v>3</v>
      </c>
      <c r="H13" s="12">
        <f>G13+ROUNDUP(D13*README!$B$15,0)</f>
        <v>8</v>
      </c>
    </row>
    <row r="14" spans="1:8" x14ac:dyDescent="0.25">
      <c r="A14" s="10" t="s">
        <v>45</v>
      </c>
      <c r="B14" s="10" t="s">
        <v>46</v>
      </c>
      <c r="C14" s="10">
        <v>21</v>
      </c>
      <c r="D14" s="11">
        <v>0.23300000000000001</v>
      </c>
      <c r="E14" s="10"/>
      <c r="F14" s="10"/>
      <c r="G14" s="12">
        <f>ROUNDUP(D14*README!$B$13*(1+README!$B$14),0)</f>
        <v>3</v>
      </c>
      <c r="H14" s="12">
        <f>G14+ROUNDUP(D14*README!$B$15,0)</f>
        <v>7</v>
      </c>
    </row>
    <row r="15" spans="1:8" x14ac:dyDescent="0.25">
      <c r="A15" s="10" t="s">
        <v>47</v>
      </c>
      <c r="B15" s="10" t="s">
        <v>48</v>
      </c>
      <c r="C15" s="10">
        <v>22</v>
      </c>
      <c r="D15" s="11">
        <v>0.24399999999999999</v>
      </c>
      <c r="E15" s="10"/>
      <c r="F15" s="10"/>
      <c r="G15" s="12">
        <f>ROUNDUP(D15*README!$B$13*(1+README!$B$14),0)</f>
        <v>3</v>
      </c>
      <c r="H15" s="12">
        <f>G15+ROUNDUP(D15*README!$B$15,0)</f>
        <v>7</v>
      </c>
    </row>
    <row r="16" spans="1:8" x14ac:dyDescent="0.25">
      <c r="A16" s="10" t="s">
        <v>25</v>
      </c>
      <c r="B16" s="10" t="s">
        <v>49</v>
      </c>
      <c r="C16" s="10">
        <v>29</v>
      </c>
      <c r="D16" s="11">
        <v>0.32200000000000001</v>
      </c>
      <c r="E16" s="10"/>
      <c r="F16" s="10"/>
      <c r="G16" s="12">
        <f>ROUNDUP(D16*README!$B$13*(1+README!$B$14),0)</f>
        <v>3</v>
      </c>
      <c r="H16" s="12">
        <f>G16+ROUNDUP(D16*README!$B$15,0)</f>
        <v>8</v>
      </c>
    </row>
    <row r="17" spans="1:8" x14ac:dyDescent="0.25">
      <c r="A17" s="10" t="s">
        <v>25</v>
      </c>
      <c r="B17" s="10" t="s">
        <v>50</v>
      </c>
      <c r="C17" s="10">
        <v>23</v>
      </c>
      <c r="D17" s="11">
        <v>0.25600000000000001</v>
      </c>
      <c r="E17" s="10"/>
      <c r="F17" s="10"/>
      <c r="G17" s="12">
        <f>ROUNDUP(D17*README!$B$13*(1+README!$B$14),0)</f>
        <v>3</v>
      </c>
      <c r="H17" s="12">
        <f>G17+ROUNDUP(D17*README!$B$15,0)</f>
        <v>7</v>
      </c>
    </row>
    <row r="18" spans="1:8" x14ac:dyDescent="0.25">
      <c r="A18" s="10" t="s">
        <v>51</v>
      </c>
      <c r="B18" s="10" t="s">
        <v>52</v>
      </c>
      <c r="C18" s="10">
        <v>22</v>
      </c>
      <c r="D18" s="11">
        <v>0.24399999999999999</v>
      </c>
      <c r="E18" s="10"/>
      <c r="F18" s="10"/>
      <c r="G18" s="12">
        <f>ROUNDUP(D18*README!$B$13*(1+README!$B$14),0)</f>
        <v>3</v>
      </c>
      <c r="H18" s="12">
        <f>G18+ROUNDUP(D18*README!$B$15,0)</f>
        <v>7</v>
      </c>
    </row>
    <row r="19" spans="1:8" x14ac:dyDescent="0.25">
      <c r="A19" s="10" t="s">
        <v>53</v>
      </c>
      <c r="B19" s="10" t="s">
        <v>54</v>
      </c>
      <c r="C19" s="10">
        <v>23</v>
      </c>
      <c r="D19" s="11">
        <v>0.25600000000000001</v>
      </c>
      <c r="E19" s="10"/>
      <c r="F19" s="10"/>
      <c r="G19" s="12">
        <f>ROUNDUP(D19*README!$B$13*(1+README!$B$14),0)</f>
        <v>3</v>
      </c>
      <c r="H19" s="12">
        <f>G19+ROUNDUP(D19*README!$B$15,0)</f>
        <v>7</v>
      </c>
    </row>
    <row r="20" spans="1:8" x14ac:dyDescent="0.25">
      <c r="A20" s="10" t="s">
        <v>55</v>
      </c>
      <c r="B20" s="10" t="s">
        <v>56</v>
      </c>
      <c r="C20" s="10">
        <v>10</v>
      </c>
      <c r="D20" s="11">
        <v>0.111</v>
      </c>
      <c r="E20" s="10"/>
      <c r="F20" s="10"/>
      <c r="G20" s="12">
        <f>ROUNDUP(D20*README!$B$13*(1+README!$B$14),0)</f>
        <v>1</v>
      </c>
      <c r="H20" s="12">
        <f>G20+ROUNDUP(D20*README!$B$15,0)</f>
        <v>3</v>
      </c>
    </row>
    <row r="21" spans="1:8" x14ac:dyDescent="0.25">
      <c r="A21" s="10" t="s">
        <v>57</v>
      </c>
      <c r="B21" s="10" t="s">
        <v>58</v>
      </c>
      <c r="C21" s="10">
        <v>11</v>
      </c>
      <c r="D21" s="11">
        <v>0.122</v>
      </c>
      <c r="E21" s="10"/>
      <c r="F21" s="10"/>
      <c r="G21" s="12">
        <f>ROUNDUP(D21*README!$B$13*(1+README!$B$14),0)</f>
        <v>2</v>
      </c>
      <c r="H21" s="12">
        <f>G21+ROUNDUP(D21*README!$B$15,0)</f>
        <v>4</v>
      </c>
    </row>
    <row r="22" spans="1:8" x14ac:dyDescent="0.25">
      <c r="A22" s="10" t="s">
        <v>59</v>
      </c>
      <c r="B22" s="10" t="s">
        <v>60</v>
      </c>
      <c r="C22" s="10">
        <v>17</v>
      </c>
      <c r="D22" s="11">
        <v>0.189</v>
      </c>
      <c r="E22" s="10"/>
      <c r="F22" s="10"/>
      <c r="G22" s="12">
        <f>ROUNDUP(D22*README!$B$13*(1+README!$B$14),0)</f>
        <v>2</v>
      </c>
      <c r="H22" s="12">
        <f>G22+ROUNDUP(D22*README!$B$15,0)</f>
        <v>5</v>
      </c>
    </row>
    <row r="23" spans="1:8" x14ac:dyDescent="0.25">
      <c r="A23" s="10" t="s">
        <v>61</v>
      </c>
      <c r="B23" s="10" t="s">
        <v>62</v>
      </c>
      <c r="C23" s="10">
        <v>16</v>
      </c>
      <c r="D23" s="11">
        <v>0.17799999999999999</v>
      </c>
      <c r="E23" s="10"/>
      <c r="F23" s="10"/>
      <c r="G23" s="12">
        <f>ROUNDUP(D23*README!$B$13*(1+README!$B$14),0)</f>
        <v>2</v>
      </c>
      <c r="H23" s="12">
        <f>G23+ROUNDUP(D23*README!$B$15,0)</f>
        <v>5</v>
      </c>
    </row>
    <row r="24" spans="1:8" x14ac:dyDescent="0.25">
      <c r="A24" s="10" t="s">
        <v>63</v>
      </c>
      <c r="B24" s="10" t="s">
        <v>63</v>
      </c>
      <c r="C24" s="10">
        <v>12</v>
      </c>
      <c r="D24" s="11">
        <v>0.13300000000000001</v>
      </c>
      <c r="E24" s="10"/>
      <c r="F24" s="10"/>
      <c r="G24" s="12">
        <f>ROUNDUP(D24*README!$B$13*(1+README!$B$14),0)</f>
        <v>2</v>
      </c>
      <c r="H24" s="12">
        <f>G24+ROUNDUP(D24*README!$B$15,0)</f>
        <v>4</v>
      </c>
    </row>
    <row r="25" spans="1:8" x14ac:dyDescent="0.25">
      <c r="A25" s="10" t="s">
        <v>64</v>
      </c>
      <c r="B25" s="10" t="s">
        <v>65</v>
      </c>
      <c r="C25" s="10">
        <v>12</v>
      </c>
      <c r="D25" s="11">
        <v>0.13300000000000001</v>
      </c>
      <c r="E25" s="10"/>
      <c r="F25" s="10"/>
      <c r="G25" s="12">
        <f>ROUNDUP(D25*README!$B$13*(1+README!$B$14),0)</f>
        <v>2</v>
      </c>
      <c r="H25" s="12">
        <f>G25+ROUNDUP(D25*README!$B$15,0)</f>
        <v>4</v>
      </c>
    </row>
    <row r="26" spans="1:8" x14ac:dyDescent="0.25">
      <c r="A26" s="10" t="s">
        <v>66</v>
      </c>
      <c r="B26" s="10" t="s">
        <v>67</v>
      </c>
      <c r="C26" s="10">
        <v>13</v>
      </c>
      <c r="D26" s="11">
        <v>0.14399999999999999</v>
      </c>
      <c r="E26" s="10"/>
      <c r="F26" s="10"/>
      <c r="G26" s="12">
        <f>ROUNDUP(D26*README!$B$13*(1+README!$B$14),0)</f>
        <v>2</v>
      </c>
      <c r="H26" s="12">
        <f>G26+ROUNDUP(D26*README!$B$15,0)</f>
        <v>5</v>
      </c>
    </row>
    <row r="27" spans="1:8" x14ac:dyDescent="0.25">
      <c r="A27" s="10" t="s">
        <v>68</v>
      </c>
      <c r="B27" s="10" t="s">
        <v>69</v>
      </c>
      <c r="C27" s="10">
        <v>17</v>
      </c>
      <c r="D27" s="11">
        <v>0.189</v>
      </c>
      <c r="E27" s="10"/>
      <c r="F27" s="10"/>
      <c r="G27" s="12">
        <f>ROUNDUP(D27*README!$B$13*(1+README!$B$14),0)</f>
        <v>2</v>
      </c>
      <c r="H27" s="12">
        <f>G27+ROUNDUP(D27*README!$B$15,0)</f>
        <v>5</v>
      </c>
    </row>
    <row r="28" spans="1:8" x14ac:dyDescent="0.25">
      <c r="A28" s="10" t="s">
        <v>70</v>
      </c>
      <c r="B28" s="10" t="s">
        <v>71</v>
      </c>
      <c r="C28" s="10">
        <v>15</v>
      </c>
      <c r="D28" s="11">
        <v>0.16700000000000001</v>
      </c>
      <c r="E28" s="10"/>
      <c r="F28" s="10"/>
      <c r="G28" s="12">
        <f>ROUNDUP(D28*README!$B$13*(1+README!$B$14),0)</f>
        <v>2</v>
      </c>
      <c r="H28" s="12">
        <f>G28+ROUNDUP(D28*README!$B$15,0)</f>
        <v>5</v>
      </c>
    </row>
    <row r="29" spans="1:8" x14ac:dyDescent="0.25">
      <c r="A29" s="10" t="s">
        <v>25</v>
      </c>
      <c r="B29" s="10" t="s">
        <v>72</v>
      </c>
      <c r="C29" s="10">
        <v>11</v>
      </c>
      <c r="D29" s="11">
        <v>0.122</v>
      </c>
      <c r="E29" s="10"/>
      <c r="F29" s="10"/>
      <c r="G29" s="12">
        <f>ROUNDUP(D29*README!$B$13*(1+README!$B$14),0)</f>
        <v>2</v>
      </c>
      <c r="H29" s="12">
        <f>G29+ROUNDUP(D29*README!$B$15,0)</f>
        <v>4</v>
      </c>
    </row>
    <row r="30" spans="1:8" x14ac:dyDescent="0.25">
      <c r="A30" s="10" t="s">
        <v>73</v>
      </c>
      <c r="B30" s="10" t="s">
        <v>74</v>
      </c>
      <c r="C30" s="10">
        <v>12</v>
      </c>
      <c r="D30" s="11">
        <v>0.13300000000000001</v>
      </c>
      <c r="E30" s="10"/>
      <c r="F30" s="10"/>
      <c r="G30" s="12">
        <f>ROUNDUP(D30*README!$B$13*(1+README!$B$14),0)</f>
        <v>2</v>
      </c>
      <c r="H30" s="12">
        <f>G30+ROUNDUP(D30*README!$B$15,0)</f>
        <v>4</v>
      </c>
    </row>
    <row r="31" spans="1:8" x14ac:dyDescent="0.25">
      <c r="A31" s="10" t="s">
        <v>75</v>
      </c>
      <c r="B31" s="10" t="s">
        <v>76</v>
      </c>
      <c r="C31" s="10">
        <v>14</v>
      </c>
      <c r="D31" s="11">
        <v>0.156</v>
      </c>
      <c r="E31" s="10"/>
      <c r="F31" s="10"/>
      <c r="G31" s="12">
        <f>ROUNDUP(D31*README!$B$13*(1+README!$B$14),0)</f>
        <v>2</v>
      </c>
      <c r="H31" s="12">
        <f>G31+ROUNDUP(D31*README!$B$15,0)</f>
        <v>5</v>
      </c>
    </row>
    <row r="32" spans="1:8" x14ac:dyDescent="0.25">
      <c r="A32" s="10" t="s">
        <v>77</v>
      </c>
      <c r="B32" s="10" t="s">
        <v>78</v>
      </c>
      <c r="C32" s="10">
        <v>14</v>
      </c>
      <c r="D32" s="11">
        <v>0.156</v>
      </c>
      <c r="E32" s="10"/>
      <c r="F32" s="10"/>
      <c r="G32" s="12">
        <f>ROUNDUP(D32*README!$B$13*(1+README!$B$14),0)</f>
        <v>2</v>
      </c>
      <c r="H32" s="12">
        <f>G32+ROUNDUP(D32*README!$B$15,0)</f>
        <v>5</v>
      </c>
    </row>
    <row r="33" spans="1:8" x14ac:dyDescent="0.25">
      <c r="A33" s="10" t="s">
        <v>25</v>
      </c>
      <c r="B33" s="10" t="s">
        <v>79</v>
      </c>
      <c r="C33" s="10">
        <v>18</v>
      </c>
      <c r="D33" s="11">
        <v>0.2</v>
      </c>
      <c r="E33" s="10"/>
      <c r="F33" s="10"/>
      <c r="G33" s="12">
        <f>ROUNDUP(D33*README!$B$13*(1+README!$B$14),0)</f>
        <v>2</v>
      </c>
      <c r="H33" s="12">
        <f>G33+ROUNDUP(D33*README!$B$15,0)</f>
        <v>5</v>
      </c>
    </row>
    <row r="34" spans="1:8" x14ac:dyDescent="0.25">
      <c r="A34" s="10" t="s">
        <v>80</v>
      </c>
      <c r="B34" s="10" t="s">
        <v>81</v>
      </c>
      <c r="C34" s="10">
        <v>13</v>
      </c>
      <c r="D34" s="11">
        <v>0.14399999999999999</v>
      </c>
      <c r="E34" s="10"/>
      <c r="F34" s="10"/>
      <c r="G34" s="12">
        <f>ROUNDUP(D34*README!$B$13*(1+README!$B$14),0)</f>
        <v>2</v>
      </c>
      <c r="H34" s="12">
        <f>G34+ROUNDUP(D34*README!$B$15,0)</f>
        <v>5</v>
      </c>
    </row>
    <row r="35" spans="1:8" x14ac:dyDescent="0.25">
      <c r="A35" s="10" t="s">
        <v>82</v>
      </c>
      <c r="B35" s="10" t="s">
        <v>83</v>
      </c>
      <c r="C35" s="10">
        <v>17</v>
      </c>
      <c r="D35" s="11">
        <v>0.189</v>
      </c>
      <c r="E35" s="10"/>
      <c r="F35" s="10"/>
      <c r="G35" s="12">
        <f>ROUNDUP(D35*README!$B$13*(1+README!$B$14),0)</f>
        <v>2</v>
      </c>
      <c r="H35" s="12">
        <f>G35+ROUNDUP(D35*README!$B$15,0)</f>
        <v>5</v>
      </c>
    </row>
    <row r="36" spans="1:8" x14ac:dyDescent="0.25">
      <c r="A36" s="10" t="s">
        <v>84</v>
      </c>
      <c r="B36" s="10" t="s">
        <v>85</v>
      </c>
      <c r="C36" s="10">
        <v>11</v>
      </c>
      <c r="D36" s="11">
        <v>0.122</v>
      </c>
      <c r="E36" s="10"/>
      <c r="F36" s="10"/>
      <c r="G36" s="12">
        <f>ROUNDUP(D36*README!$B$13*(1+README!$B$14),0)</f>
        <v>2</v>
      </c>
      <c r="H36" s="12">
        <f>G36+ROUNDUP(D36*README!$B$15,0)</f>
        <v>4</v>
      </c>
    </row>
    <row r="37" spans="1:8" x14ac:dyDescent="0.25">
      <c r="A37" s="10" t="s">
        <v>86</v>
      </c>
      <c r="B37" s="10" t="s">
        <v>87</v>
      </c>
      <c r="C37" s="10">
        <v>10</v>
      </c>
      <c r="D37" s="11">
        <v>0.111</v>
      </c>
      <c r="E37" s="10"/>
      <c r="F37" s="10"/>
      <c r="G37" s="12">
        <f>ROUNDUP(D37*README!$B$13*(1+README!$B$14),0)</f>
        <v>1</v>
      </c>
      <c r="H37" s="12">
        <f>G37+ROUNDUP(D37*README!$B$15,0)</f>
        <v>3</v>
      </c>
    </row>
    <row r="38" spans="1:8" x14ac:dyDescent="0.25">
      <c r="A38" s="10" t="s">
        <v>30</v>
      </c>
      <c r="B38" s="10" t="s">
        <v>88</v>
      </c>
      <c r="C38" s="10">
        <v>17</v>
      </c>
      <c r="D38" s="11">
        <v>0.189</v>
      </c>
      <c r="E38" s="10"/>
      <c r="F38" s="10"/>
      <c r="G38" s="12">
        <f>ROUNDUP(D38*README!$B$13*(1+README!$B$14),0)</f>
        <v>2</v>
      </c>
      <c r="H38" s="12">
        <f>G38+ROUNDUP(D38*README!$B$15,0)</f>
        <v>5</v>
      </c>
    </row>
    <row r="39" spans="1:8" x14ac:dyDescent="0.25">
      <c r="A39" s="10" t="s">
        <v>89</v>
      </c>
      <c r="B39" s="10" t="s">
        <v>90</v>
      </c>
      <c r="C39" s="10">
        <v>10</v>
      </c>
      <c r="D39" s="11">
        <v>0.111</v>
      </c>
      <c r="E39" s="10"/>
      <c r="F39" s="10"/>
      <c r="G39" s="12">
        <f>ROUNDUP(D39*README!$B$13*(1+README!$B$14),0)</f>
        <v>1</v>
      </c>
      <c r="H39" s="12">
        <f>G39+ROUNDUP(D39*README!$B$15,0)</f>
        <v>3</v>
      </c>
    </row>
    <row r="40" spans="1:8" x14ac:dyDescent="0.25">
      <c r="A40" s="10" t="s">
        <v>91</v>
      </c>
      <c r="B40" s="10" t="s">
        <v>92</v>
      </c>
      <c r="C40" s="10">
        <v>11</v>
      </c>
      <c r="D40" s="11">
        <v>0.122</v>
      </c>
      <c r="E40" s="10"/>
      <c r="F40" s="10"/>
      <c r="G40" s="12">
        <f>ROUNDUP(D40*README!$B$13*(1+README!$B$14),0)</f>
        <v>2</v>
      </c>
      <c r="H40" s="12">
        <f>G40+ROUNDUP(D40*README!$B$15,0)</f>
        <v>4</v>
      </c>
    </row>
    <row r="41" spans="1:8" x14ac:dyDescent="0.25">
      <c r="A41" s="10" t="s">
        <v>93</v>
      </c>
      <c r="B41" s="10" t="s">
        <v>94</v>
      </c>
      <c r="C41" s="10">
        <v>11</v>
      </c>
      <c r="D41" s="11">
        <v>0.122</v>
      </c>
      <c r="E41" s="10"/>
      <c r="F41" s="10"/>
      <c r="G41" s="12">
        <f>ROUNDUP(D41*README!$B$13*(1+README!$B$14),0)</f>
        <v>2</v>
      </c>
      <c r="H41" s="12">
        <f>G41+ROUNDUP(D41*README!$B$15,0)</f>
        <v>4</v>
      </c>
    </row>
    <row r="42" spans="1:8" x14ac:dyDescent="0.25">
      <c r="A42" s="10" t="s">
        <v>95</v>
      </c>
      <c r="B42" s="10" t="s">
        <v>96</v>
      </c>
      <c r="C42" s="10">
        <v>17</v>
      </c>
      <c r="D42" s="11">
        <v>0.189</v>
      </c>
      <c r="E42" s="10"/>
      <c r="F42" s="10"/>
      <c r="G42" s="12">
        <f>ROUNDUP(D42*README!$B$13*(1+README!$B$14),0)</f>
        <v>2</v>
      </c>
      <c r="H42" s="12">
        <f>G42+ROUNDUP(D42*README!$B$15,0)</f>
        <v>5</v>
      </c>
    </row>
    <row r="43" spans="1:8" x14ac:dyDescent="0.25">
      <c r="A43" s="10" t="s">
        <v>97</v>
      </c>
      <c r="B43" s="10" t="s">
        <v>98</v>
      </c>
      <c r="C43" s="10">
        <v>10</v>
      </c>
      <c r="D43" s="11">
        <v>0.111</v>
      </c>
      <c r="E43" s="10"/>
      <c r="F43" s="10"/>
      <c r="G43" s="12">
        <f>ROUNDUP(D43*README!$B$13*(1+README!$B$14),0)</f>
        <v>1</v>
      </c>
      <c r="H43" s="12">
        <f>G43+ROUNDUP(D43*README!$B$15,0)</f>
        <v>3</v>
      </c>
    </row>
    <row r="44" spans="1:8" x14ac:dyDescent="0.25">
      <c r="A44" s="10" t="s">
        <v>99</v>
      </c>
      <c r="B44" s="10" t="s">
        <v>100</v>
      </c>
      <c r="C44" s="10">
        <v>19</v>
      </c>
      <c r="D44" s="11">
        <v>0.21099999999999999</v>
      </c>
      <c r="E44" s="10"/>
      <c r="F44" s="10"/>
      <c r="G44" s="12">
        <f>ROUNDUP(D44*README!$B$13*(1+README!$B$14),0)</f>
        <v>2</v>
      </c>
      <c r="H44" s="12">
        <f>G44+ROUNDUP(D44*README!$B$15,0)</f>
        <v>5</v>
      </c>
    </row>
    <row r="45" spans="1:8" x14ac:dyDescent="0.25">
      <c r="A45" s="10" t="s">
        <v>101</v>
      </c>
      <c r="B45" s="10" t="s">
        <v>102</v>
      </c>
      <c r="C45" s="10">
        <v>10</v>
      </c>
      <c r="D45" s="11">
        <v>0.111</v>
      </c>
      <c r="E45" s="10"/>
      <c r="F45" s="10"/>
      <c r="G45" s="12">
        <f>ROUNDUP(D45*README!$B$13*(1+README!$B$14),0)</f>
        <v>1</v>
      </c>
      <c r="H45" s="12">
        <f>G45+ROUNDUP(D45*README!$B$15,0)</f>
        <v>3</v>
      </c>
    </row>
    <row r="46" spans="1:8" x14ac:dyDescent="0.25">
      <c r="A46" s="10" t="s">
        <v>103</v>
      </c>
      <c r="B46" s="10" t="s">
        <v>104</v>
      </c>
      <c r="C46" s="10">
        <v>13</v>
      </c>
      <c r="D46" s="11">
        <v>0.14399999999999999</v>
      </c>
      <c r="E46" s="10"/>
      <c r="F46" s="10"/>
      <c r="G46" s="12">
        <f>ROUNDUP(D46*README!$B$13*(1+README!$B$14),0)</f>
        <v>2</v>
      </c>
      <c r="H46" s="12">
        <f>G46+ROUNDUP(D46*README!$B$15,0)</f>
        <v>5</v>
      </c>
    </row>
    <row r="47" spans="1:8" x14ac:dyDescent="0.25">
      <c r="A47" s="10" t="s">
        <v>105</v>
      </c>
      <c r="B47" s="10" t="s">
        <v>106</v>
      </c>
      <c r="C47" s="10">
        <v>16</v>
      </c>
      <c r="D47" s="11">
        <v>0.17799999999999999</v>
      </c>
      <c r="E47" s="10"/>
      <c r="F47" s="10"/>
      <c r="G47" s="12">
        <f>ROUNDUP(D47*README!$B$13*(1+README!$B$14),0)</f>
        <v>2</v>
      </c>
      <c r="H47" s="12">
        <f>G47+ROUNDUP(D47*README!$B$15,0)</f>
        <v>5</v>
      </c>
    </row>
    <row r="48" spans="1:8" x14ac:dyDescent="0.25">
      <c r="A48" s="10" t="s">
        <v>25</v>
      </c>
      <c r="B48" s="10" t="s">
        <v>107</v>
      </c>
      <c r="C48" s="10">
        <v>18</v>
      </c>
      <c r="D48" s="11">
        <v>0.2</v>
      </c>
      <c r="E48" s="10"/>
      <c r="F48" s="10"/>
      <c r="G48" s="12">
        <f>ROUNDUP(D48*README!$B$13*(1+README!$B$14),0)</f>
        <v>2</v>
      </c>
      <c r="H48" s="12">
        <f>G48+ROUNDUP(D48*README!$B$15,0)</f>
        <v>5</v>
      </c>
    </row>
    <row r="49" spans="1:8" x14ac:dyDescent="0.25">
      <c r="A49" s="10" t="s">
        <v>108</v>
      </c>
      <c r="B49" s="10" t="s">
        <v>109</v>
      </c>
      <c r="C49" s="10">
        <v>8</v>
      </c>
      <c r="D49" s="11">
        <v>8.8999999999999996E-2</v>
      </c>
      <c r="E49" s="10"/>
      <c r="F49" s="10"/>
      <c r="G49" s="12">
        <f>ROUNDUP(D49*README!$B$13*(1+README!$B$14),0)</f>
        <v>1</v>
      </c>
      <c r="H49" s="12">
        <f>G49+ROUNDUP(D49*README!$B$15,0)</f>
        <v>3</v>
      </c>
    </row>
    <row r="50" spans="1:8" x14ac:dyDescent="0.25">
      <c r="A50" s="10" t="s">
        <v>105</v>
      </c>
      <c r="B50" s="10" t="s">
        <v>110</v>
      </c>
      <c r="C50" s="10">
        <v>8</v>
      </c>
      <c r="D50" s="11">
        <v>8.8999999999999996E-2</v>
      </c>
      <c r="E50" s="10"/>
      <c r="F50" s="10"/>
      <c r="G50" s="12">
        <f>ROUNDUP(D50*README!$B$13*(1+README!$B$14),0)</f>
        <v>1</v>
      </c>
      <c r="H50" s="12">
        <f>G50+ROUNDUP(D50*README!$B$15,0)</f>
        <v>3</v>
      </c>
    </row>
    <row r="51" spans="1:8" x14ac:dyDescent="0.25">
      <c r="A51" s="10" t="s">
        <v>111</v>
      </c>
      <c r="B51" s="10" t="s">
        <v>112</v>
      </c>
      <c r="C51" s="10">
        <v>8</v>
      </c>
      <c r="D51" s="11">
        <v>8.8999999999999996E-2</v>
      </c>
      <c r="E51" s="10"/>
      <c r="F51" s="10"/>
      <c r="G51" s="12">
        <f>ROUNDUP(D51*README!$B$13*(1+README!$B$14),0)</f>
        <v>1</v>
      </c>
      <c r="H51" s="12">
        <f>G51+ROUNDUP(D51*README!$B$15,0)</f>
        <v>3</v>
      </c>
    </row>
    <row r="52" spans="1:8" x14ac:dyDescent="0.25">
      <c r="A52" s="10" t="s">
        <v>113</v>
      </c>
      <c r="B52" s="10" t="s">
        <v>114</v>
      </c>
      <c r="C52" s="10">
        <v>7</v>
      </c>
      <c r="D52" s="11">
        <v>7.8E-2</v>
      </c>
      <c r="E52" s="10"/>
      <c r="F52" s="10"/>
      <c r="G52" s="12">
        <f>ROUNDUP(D52*README!$B$13*(1+README!$B$14),0)</f>
        <v>1</v>
      </c>
      <c r="H52" s="12">
        <f>G52+ROUNDUP(D52*README!$B$15,0)</f>
        <v>3</v>
      </c>
    </row>
    <row r="53" spans="1:8" x14ac:dyDescent="0.25">
      <c r="A53" s="10" t="s">
        <v>115</v>
      </c>
      <c r="B53" s="10" t="s">
        <v>116</v>
      </c>
      <c r="C53" s="10">
        <v>8</v>
      </c>
      <c r="D53" s="11">
        <v>8.8999999999999996E-2</v>
      </c>
      <c r="E53" s="10"/>
      <c r="F53" s="10"/>
      <c r="G53" s="12">
        <f>ROUNDUP(D53*README!$B$13*(1+README!$B$14),0)</f>
        <v>1</v>
      </c>
      <c r="H53" s="12">
        <f>G53+ROUNDUP(D53*README!$B$15,0)</f>
        <v>3</v>
      </c>
    </row>
    <row r="54" spans="1:8" x14ac:dyDescent="0.25">
      <c r="A54" s="10" t="s">
        <v>117</v>
      </c>
      <c r="B54" s="10" t="s">
        <v>118</v>
      </c>
      <c r="C54" s="10">
        <v>5</v>
      </c>
      <c r="D54" s="11">
        <v>5.6000000000000001E-2</v>
      </c>
      <c r="E54" s="10"/>
      <c r="F54" s="10"/>
      <c r="G54" s="12">
        <f>ROUNDUP(D54*README!$B$13*(1+README!$B$14),0)</f>
        <v>1</v>
      </c>
      <c r="H54" s="12">
        <f>G54+ROUNDUP(D54*README!$B$15,0)</f>
        <v>2</v>
      </c>
    </row>
    <row r="55" spans="1:8" x14ac:dyDescent="0.25">
      <c r="A55" s="10" t="s">
        <v>119</v>
      </c>
      <c r="B55" s="10" t="s">
        <v>120</v>
      </c>
      <c r="C55" s="10">
        <v>5</v>
      </c>
      <c r="D55" s="11">
        <v>5.6000000000000001E-2</v>
      </c>
      <c r="E55" s="10"/>
      <c r="F55" s="10"/>
      <c r="G55" s="12">
        <f>ROUNDUP(D55*README!$B$13*(1+README!$B$14),0)</f>
        <v>1</v>
      </c>
      <c r="H55" s="12">
        <f>G55+ROUNDUP(D55*README!$B$15,0)</f>
        <v>2</v>
      </c>
    </row>
    <row r="56" spans="1:8" x14ac:dyDescent="0.25">
      <c r="A56" s="10" t="s">
        <v>121</v>
      </c>
      <c r="B56" s="10" t="s">
        <v>122</v>
      </c>
      <c r="C56" s="10">
        <v>8</v>
      </c>
      <c r="D56" s="11">
        <v>8.8999999999999996E-2</v>
      </c>
      <c r="E56" s="10"/>
      <c r="F56" s="10"/>
      <c r="G56" s="12">
        <f>ROUNDUP(D56*README!$B$13*(1+README!$B$14),0)</f>
        <v>1</v>
      </c>
      <c r="H56" s="12">
        <f>G56+ROUNDUP(D56*README!$B$15,0)</f>
        <v>3</v>
      </c>
    </row>
    <row r="57" spans="1:8" x14ac:dyDescent="0.25">
      <c r="A57" s="10" t="s">
        <v>25</v>
      </c>
      <c r="B57" s="10" t="s">
        <v>123</v>
      </c>
      <c r="C57" s="10">
        <v>5</v>
      </c>
      <c r="D57" s="11">
        <v>5.6000000000000001E-2</v>
      </c>
      <c r="E57" s="10"/>
      <c r="F57" s="10"/>
      <c r="G57" s="12">
        <f>ROUNDUP(D57*README!$B$13*(1+README!$B$14),0)</f>
        <v>1</v>
      </c>
      <c r="H57" s="12">
        <f>G57+ROUNDUP(D57*README!$B$15,0)</f>
        <v>2</v>
      </c>
    </row>
    <row r="58" spans="1:8" x14ac:dyDescent="0.25">
      <c r="A58" s="10" t="s">
        <v>124</v>
      </c>
      <c r="B58" s="10" t="s">
        <v>125</v>
      </c>
      <c r="C58" s="10">
        <v>8</v>
      </c>
      <c r="D58" s="11">
        <v>8.8999999999999996E-2</v>
      </c>
      <c r="E58" s="10"/>
      <c r="F58" s="10"/>
      <c r="G58" s="12">
        <f>ROUNDUP(D58*README!$B$13*(1+README!$B$14),0)</f>
        <v>1</v>
      </c>
      <c r="H58" s="12">
        <f>G58+ROUNDUP(D58*README!$B$15,0)</f>
        <v>3</v>
      </c>
    </row>
    <row r="59" spans="1:8" x14ac:dyDescent="0.25">
      <c r="A59" s="10" t="s">
        <v>126</v>
      </c>
      <c r="B59" s="10" t="s">
        <v>127</v>
      </c>
      <c r="C59" s="10">
        <v>5</v>
      </c>
      <c r="D59" s="11">
        <v>5.6000000000000001E-2</v>
      </c>
      <c r="E59" s="10"/>
      <c r="F59" s="10"/>
      <c r="G59" s="12">
        <f>ROUNDUP(D59*README!$B$13*(1+README!$B$14),0)</f>
        <v>1</v>
      </c>
      <c r="H59" s="12">
        <f>G59+ROUNDUP(D59*README!$B$15,0)</f>
        <v>2</v>
      </c>
    </row>
    <row r="60" spans="1:8" x14ac:dyDescent="0.25">
      <c r="A60" s="10" t="s">
        <v>30</v>
      </c>
      <c r="B60" s="10" t="s">
        <v>128</v>
      </c>
      <c r="C60" s="10">
        <v>9</v>
      </c>
      <c r="D60" s="11">
        <v>0.1</v>
      </c>
      <c r="E60" s="10"/>
      <c r="F60" s="10"/>
      <c r="G60" s="12">
        <f>ROUNDUP(D60*README!$B$13*(1+README!$B$14),0)</f>
        <v>1</v>
      </c>
      <c r="H60" s="12">
        <f>G60+ROUNDUP(D60*README!$B$15,0)</f>
        <v>3</v>
      </c>
    </row>
    <row r="61" spans="1:8" x14ac:dyDescent="0.25">
      <c r="A61" s="10" t="s">
        <v>129</v>
      </c>
      <c r="B61" s="10" t="s">
        <v>130</v>
      </c>
      <c r="C61" s="10">
        <v>6</v>
      </c>
      <c r="D61" s="11">
        <v>6.7000000000000004E-2</v>
      </c>
      <c r="E61" s="10"/>
      <c r="F61" s="10"/>
      <c r="G61" s="12">
        <f>ROUNDUP(D61*README!$B$13*(1+README!$B$14),0)</f>
        <v>1</v>
      </c>
      <c r="H61" s="12">
        <f>G61+ROUNDUP(D61*README!$B$15,0)</f>
        <v>2</v>
      </c>
    </row>
    <row r="62" spans="1:8" x14ac:dyDescent="0.25">
      <c r="A62" s="10" t="s">
        <v>131</v>
      </c>
      <c r="B62" s="10" t="s">
        <v>132</v>
      </c>
      <c r="C62" s="10">
        <v>9</v>
      </c>
      <c r="D62" s="11">
        <v>0.1</v>
      </c>
      <c r="E62" s="10"/>
      <c r="F62" s="10"/>
      <c r="G62" s="12">
        <f>ROUNDUP(D62*README!$B$13*(1+README!$B$14),0)</f>
        <v>1</v>
      </c>
      <c r="H62" s="12">
        <f>G62+ROUNDUP(D62*README!$B$15,0)</f>
        <v>3</v>
      </c>
    </row>
    <row r="63" spans="1:8" x14ac:dyDescent="0.25">
      <c r="A63" s="10" t="s">
        <v>25</v>
      </c>
      <c r="B63" s="10" t="s">
        <v>133</v>
      </c>
      <c r="C63" s="10">
        <v>3</v>
      </c>
      <c r="D63" s="11">
        <v>3.3000000000000002E-2</v>
      </c>
      <c r="E63" s="10"/>
      <c r="F63" s="10"/>
      <c r="G63" s="12">
        <f>ROUNDUP(D63*README!$B$13*(1+README!$B$14),0)</f>
        <v>1</v>
      </c>
      <c r="H63" s="12">
        <f>G63+ROUNDUP(D63*README!$B$15,0)</f>
        <v>2</v>
      </c>
    </row>
    <row r="64" spans="1:8" x14ac:dyDescent="0.25">
      <c r="A64" s="10" t="s">
        <v>134</v>
      </c>
      <c r="B64" s="10" t="s">
        <v>135</v>
      </c>
      <c r="C64" s="10">
        <v>7</v>
      </c>
      <c r="D64" s="11">
        <v>7.8E-2</v>
      </c>
      <c r="E64" s="10"/>
      <c r="F64" s="10"/>
      <c r="G64" s="12">
        <f>ROUNDUP(D64*README!$B$13*(1+README!$B$14),0)</f>
        <v>1</v>
      </c>
      <c r="H64" s="12">
        <f>G64+ROUNDUP(D64*README!$B$15,0)</f>
        <v>3</v>
      </c>
    </row>
    <row r="65" spans="1:8" x14ac:dyDescent="0.25">
      <c r="A65" s="10" t="s">
        <v>136</v>
      </c>
      <c r="B65" s="10" t="s">
        <v>137</v>
      </c>
      <c r="C65" s="10">
        <v>6</v>
      </c>
      <c r="D65" s="11">
        <v>6.7000000000000004E-2</v>
      </c>
      <c r="E65" s="10"/>
      <c r="F65" s="10"/>
      <c r="G65" s="12">
        <f>ROUNDUP(D65*README!$B$13*(1+README!$B$14),0)</f>
        <v>1</v>
      </c>
      <c r="H65" s="12">
        <f>G65+ROUNDUP(D65*README!$B$15,0)</f>
        <v>2</v>
      </c>
    </row>
    <row r="66" spans="1:8" x14ac:dyDescent="0.25">
      <c r="A66" s="10" t="s">
        <v>64</v>
      </c>
      <c r="B66" s="10" t="s">
        <v>138</v>
      </c>
      <c r="C66" s="10">
        <v>4</v>
      </c>
      <c r="D66" s="11">
        <v>4.3999999999999997E-2</v>
      </c>
      <c r="E66" s="10"/>
      <c r="F66" s="10"/>
      <c r="G66" s="12">
        <f>ROUNDUP(D66*README!$B$13*(1+README!$B$14),0)</f>
        <v>1</v>
      </c>
      <c r="H66" s="12">
        <f>G66+ROUNDUP(D66*README!$B$15,0)</f>
        <v>2</v>
      </c>
    </row>
    <row r="67" spans="1:8" x14ac:dyDescent="0.25">
      <c r="A67" s="10" t="s">
        <v>139</v>
      </c>
      <c r="B67" s="10" t="s">
        <v>140</v>
      </c>
      <c r="C67" s="10">
        <v>7</v>
      </c>
      <c r="D67" s="11">
        <v>7.8E-2</v>
      </c>
      <c r="E67" s="10"/>
      <c r="F67" s="10"/>
      <c r="G67" s="12">
        <f>ROUNDUP(D67*README!$B$13*(1+README!$B$14),0)</f>
        <v>1</v>
      </c>
      <c r="H67" s="12">
        <f>G67+ROUNDUP(D67*README!$B$15,0)</f>
        <v>3</v>
      </c>
    </row>
    <row r="68" spans="1:8" x14ac:dyDescent="0.25">
      <c r="A68" s="10" t="s">
        <v>141</v>
      </c>
      <c r="B68" s="10" t="s">
        <v>142</v>
      </c>
      <c r="C68" s="10">
        <v>4</v>
      </c>
      <c r="D68" s="11">
        <v>4.3999999999999997E-2</v>
      </c>
      <c r="E68" s="10"/>
      <c r="F68" s="10"/>
      <c r="G68" s="12">
        <f>ROUNDUP(D68*README!$B$13*(1+README!$B$14),0)</f>
        <v>1</v>
      </c>
      <c r="H68" s="12">
        <f>G68+ROUNDUP(D68*README!$B$15,0)</f>
        <v>2</v>
      </c>
    </row>
    <row r="69" spans="1:8" x14ac:dyDescent="0.25">
      <c r="A69" s="10" t="s">
        <v>25</v>
      </c>
      <c r="B69" s="10" t="s">
        <v>143</v>
      </c>
      <c r="C69" s="10">
        <v>7</v>
      </c>
      <c r="D69" s="11">
        <v>7.8E-2</v>
      </c>
      <c r="E69" s="10"/>
      <c r="F69" s="10"/>
      <c r="G69" s="12">
        <f>ROUNDUP(D69*README!$B$13*(1+README!$B$14),0)</f>
        <v>1</v>
      </c>
      <c r="H69" s="12">
        <f>G69+ROUNDUP(D69*README!$B$15,0)</f>
        <v>3</v>
      </c>
    </row>
    <row r="70" spans="1:8" x14ac:dyDescent="0.25">
      <c r="A70" s="10" t="s">
        <v>144</v>
      </c>
      <c r="B70" s="10" t="s">
        <v>145</v>
      </c>
      <c r="C70" s="10">
        <v>8</v>
      </c>
      <c r="D70" s="11">
        <v>8.8999999999999996E-2</v>
      </c>
      <c r="E70" s="10"/>
      <c r="F70" s="10"/>
      <c r="G70" s="12">
        <f>ROUNDUP(D70*README!$B$13*(1+README!$B$14),0)</f>
        <v>1</v>
      </c>
      <c r="H70" s="12">
        <f>G70+ROUNDUP(D70*README!$B$15,0)</f>
        <v>3</v>
      </c>
    </row>
    <row r="71" spans="1:8" x14ac:dyDescent="0.25">
      <c r="A71" s="10" t="s">
        <v>25</v>
      </c>
      <c r="B71" s="10" t="s">
        <v>146</v>
      </c>
      <c r="C71" s="10">
        <v>8</v>
      </c>
      <c r="D71" s="11">
        <v>8.8999999999999996E-2</v>
      </c>
      <c r="E71" s="10"/>
      <c r="F71" s="10"/>
      <c r="G71" s="12">
        <f>ROUNDUP(D71*README!$B$13*(1+README!$B$14),0)</f>
        <v>1</v>
      </c>
      <c r="H71" s="12">
        <f>G71+ROUNDUP(D71*README!$B$15,0)</f>
        <v>3</v>
      </c>
    </row>
    <row r="72" spans="1:8" x14ac:dyDescent="0.25">
      <c r="A72" s="10" t="s">
        <v>147</v>
      </c>
      <c r="B72" s="10" t="s">
        <v>148</v>
      </c>
      <c r="C72" s="10">
        <v>5</v>
      </c>
      <c r="D72" s="11">
        <v>5.6000000000000001E-2</v>
      </c>
      <c r="E72" s="10"/>
      <c r="F72" s="10"/>
      <c r="G72" s="12">
        <f>ROUNDUP(D72*README!$B$13*(1+README!$B$14),0)</f>
        <v>1</v>
      </c>
      <c r="H72" s="12">
        <f>G72+ROUNDUP(D72*README!$B$15,0)</f>
        <v>2</v>
      </c>
    </row>
    <row r="73" spans="1:8" x14ac:dyDescent="0.25">
      <c r="A73" s="10" t="s">
        <v>149</v>
      </c>
      <c r="B73" s="10" t="s">
        <v>150</v>
      </c>
      <c r="C73" s="10">
        <v>3</v>
      </c>
      <c r="D73" s="11">
        <v>3.3000000000000002E-2</v>
      </c>
      <c r="E73" s="10"/>
      <c r="F73" s="10"/>
      <c r="G73" s="12">
        <f>ROUNDUP(D73*README!$B$13*(1+README!$B$14),0)</f>
        <v>1</v>
      </c>
      <c r="H73" s="12">
        <f>G73+ROUNDUP(D73*README!$B$15,0)</f>
        <v>2</v>
      </c>
    </row>
    <row r="74" spans="1:8" x14ac:dyDescent="0.25">
      <c r="A74" s="10" t="s">
        <v>151</v>
      </c>
      <c r="B74" s="10" t="s">
        <v>152</v>
      </c>
      <c r="C74" s="10">
        <v>5</v>
      </c>
      <c r="D74" s="11">
        <v>5.6000000000000001E-2</v>
      </c>
      <c r="E74" s="10"/>
      <c r="F74" s="10"/>
      <c r="G74" s="12">
        <f>ROUNDUP(D74*README!$B$13*(1+README!$B$14),0)</f>
        <v>1</v>
      </c>
      <c r="H74" s="12">
        <f>G74+ROUNDUP(D74*README!$B$15,0)</f>
        <v>2</v>
      </c>
    </row>
    <row r="75" spans="1:8" x14ac:dyDescent="0.25">
      <c r="A75" s="10" t="s">
        <v>153</v>
      </c>
      <c r="B75" s="10" t="s">
        <v>154</v>
      </c>
      <c r="C75" s="10">
        <v>6</v>
      </c>
      <c r="D75" s="11">
        <v>6.7000000000000004E-2</v>
      </c>
      <c r="E75" s="10"/>
      <c r="F75" s="10"/>
      <c r="G75" s="12">
        <f>ROUNDUP(D75*README!$B$13*(1+README!$B$14),0)</f>
        <v>1</v>
      </c>
      <c r="H75" s="12">
        <f>G75+ROUNDUP(D75*README!$B$15,0)</f>
        <v>2</v>
      </c>
    </row>
    <row r="76" spans="1:8" x14ac:dyDescent="0.25">
      <c r="A76" s="10" t="s">
        <v>155</v>
      </c>
      <c r="B76" s="10" t="s">
        <v>156</v>
      </c>
      <c r="C76" s="10">
        <v>2</v>
      </c>
      <c r="D76" s="11">
        <v>2.1999999999999999E-2</v>
      </c>
      <c r="E76" s="10"/>
      <c r="F76" s="10"/>
      <c r="G76" s="12">
        <f>ROUNDUP(D76*README!$B$13*(1+README!$B$14),0)</f>
        <v>1</v>
      </c>
      <c r="H76" s="12">
        <f>G76+ROUNDUP(D76*README!$B$15,0)</f>
        <v>2</v>
      </c>
    </row>
    <row r="77" spans="1:8" x14ac:dyDescent="0.25">
      <c r="A77" s="10" t="s">
        <v>157</v>
      </c>
      <c r="B77" s="10" t="s">
        <v>158</v>
      </c>
      <c r="C77" s="10">
        <v>3</v>
      </c>
      <c r="D77" s="11">
        <v>3.3000000000000002E-2</v>
      </c>
      <c r="E77" s="10"/>
      <c r="F77" s="10"/>
      <c r="G77" s="12">
        <f>ROUNDUP(D77*README!$B$13*(1+README!$B$14),0)</f>
        <v>1</v>
      </c>
      <c r="H77" s="12">
        <f>G77+ROUNDUP(D77*README!$B$15,0)</f>
        <v>2</v>
      </c>
    </row>
    <row r="78" spans="1:8" x14ac:dyDescent="0.25">
      <c r="A78" s="10" t="s">
        <v>159</v>
      </c>
      <c r="B78" s="10" t="s">
        <v>160</v>
      </c>
      <c r="C78" s="10">
        <v>9</v>
      </c>
      <c r="D78" s="11">
        <v>0.1</v>
      </c>
      <c r="E78" s="10"/>
      <c r="F78" s="10"/>
      <c r="G78" s="12">
        <f>ROUNDUP(D78*README!$B$13*(1+README!$B$14),0)</f>
        <v>1</v>
      </c>
      <c r="H78" s="12">
        <f>G78+ROUNDUP(D78*README!$B$15,0)</f>
        <v>3</v>
      </c>
    </row>
    <row r="79" spans="1:8" x14ac:dyDescent="0.25">
      <c r="A79" s="10" t="s">
        <v>161</v>
      </c>
      <c r="B79" s="10" t="s">
        <v>162</v>
      </c>
      <c r="C79" s="10">
        <v>4</v>
      </c>
      <c r="D79" s="11">
        <v>4.3999999999999997E-2</v>
      </c>
      <c r="E79" s="10"/>
      <c r="F79" s="10"/>
      <c r="G79" s="12">
        <f>ROUNDUP(D79*README!$B$13*(1+README!$B$14),0)</f>
        <v>1</v>
      </c>
      <c r="H79" s="12">
        <f>G79+ROUNDUP(D79*README!$B$15,0)</f>
        <v>2</v>
      </c>
    </row>
    <row r="80" spans="1:8" x14ac:dyDescent="0.25">
      <c r="A80" s="10" t="s">
        <v>163</v>
      </c>
      <c r="B80" s="10" t="s">
        <v>164</v>
      </c>
      <c r="C80" s="10">
        <v>8</v>
      </c>
      <c r="D80" s="11">
        <v>8.8999999999999996E-2</v>
      </c>
      <c r="E80" s="10"/>
      <c r="F80" s="10"/>
      <c r="G80" s="12">
        <f>ROUNDUP(D80*README!$B$13*(1+README!$B$14),0)</f>
        <v>1</v>
      </c>
      <c r="H80" s="12">
        <f>G80+ROUNDUP(D80*README!$B$15,0)</f>
        <v>3</v>
      </c>
    </row>
    <row r="81" spans="1:8" x14ac:dyDescent="0.25">
      <c r="A81" s="10" t="s">
        <v>64</v>
      </c>
      <c r="B81" s="10" t="s">
        <v>165</v>
      </c>
      <c r="C81" s="10">
        <v>4</v>
      </c>
      <c r="D81" s="11">
        <v>4.3999999999999997E-2</v>
      </c>
      <c r="E81" s="10"/>
      <c r="F81" s="10"/>
      <c r="G81" s="12">
        <f>ROUNDUP(D81*README!$B$13*(1+README!$B$14),0)</f>
        <v>1</v>
      </c>
      <c r="H81" s="12">
        <f>G81+ROUNDUP(D81*README!$B$15,0)</f>
        <v>2</v>
      </c>
    </row>
    <row r="82" spans="1:8" x14ac:dyDescent="0.25">
      <c r="A82" s="10" t="s">
        <v>166</v>
      </c>
      <c r="B82" s="10" t="s">
        <v>167</v>
      </c>
      <c r="C82" s="10">
        <v>8</v>
      </c>
      <c r="D82" s="11">
        <v>8.8999999999999996E-2</v>
      </c>
      <c r="E82" s="10"/>
      <c r="F82" s="10"/>
      <c r="G82" s="12">
        <f>ROUNDUP(D82*README!$B$13*(1+README!$B$14),0)</f>
        <v>1</v>
      </c>
      <c r="H82" s="12">
        <f>G82+ROUNDUP(D82*README!$B$15,0)</f>
        <v>3</v>
      </c>
    </row>
    <row r="83" spans="1:8" x14ac:dyDescent="0.25">
      <c r="A83" s="10" t="s">
        <v>25</v>
      </c>
      <c r="B83" s="10" t="s">
        <v>168</v>
      </c>
      <c r="C83" s="10">
        <v>9</v>
      </c>
      <c r="D83" s="11">
        <v>0.1</v>
      </c>
      <c r="E83" s="10"/>
      <c r="F83" s="10"/>
      <c r="G83" s="12">
        <f>ROUNDUP(D83*README!$B$13*(1+README!$B$14),0)</f>
        <v>1</v>
      </c>
      <c r="H83" s="12">
        <f>G83+ROUNDUP(D83*README!$B$15,0)</f>
        <v>3</v>
      </c>
    </row>
    <row r="84" spans="1:8" x14ac:dyDescent="0.25">
      <c r="A84" s="10" t="s">
        <v>25</v>
      </c>
      <c r="B84" s="10" t="s">
        <v>169</v>
      </c>
      <c r="C84" s="10">
        <v>9</v>
      </c>
      <c r="D84" s="11">
        <v>0.1</v>
      </c>
      <c r="E84" s="10"/>
      <c r="F84" s="10"/>
      <c r="G84" s="12">
        <f>ROUNDUP(D84*README!$B$13*(1+README!$B$14),0)</f>
        <v>1</v>
      </c>
      <c r="H84" s="12">
        <f>G84+ROUNDUP(D84*README!$B$15,0)</f>
        <v>3</v>
      </c>
    </row>
    <row r="85" spans="1:8" x14ac:dyDescent="0.25">
      <c r="A85" s="10" t="s">
        <v>25</v>
      </c>
      <c r="B85" s="10" t="s">
        <v>170</v>
      </c>
      <c r="C85" s="10">
        <v>6</v>
      </c>
      <c r="D85" s="11">
        <v>6.7000000000000004E-2</v>
      </c>
      <c r="E85" s="10"/>
      <c r="F85" s="10"/>
      <c r="G85" s="12">
        <f>ROUNDUP(D85*README!$B$13*(1+README!$B$14),0)</f>
        <v>1</v>
      </c>
      <c r="H85" s="12">
        <f>G85+ROUNDUP(D85*README!$B$15,0)</f>
        <v>2</v>
      </c>
    </row>
    <row r="86" spans="1:8" x14ac:dyDescent="0.25">
      <c r="A86" s="10" t="s">
        <v>25</v>
      </c>
      <c r="B86" s="10" t="s">
        <v>171</v>
      </c>
      <c r="C86" s="10">
        <v>7</v>
      </c>
      <c r="D86" s="11">
        <v>7.8E-2</v>
      </c>
      <c r="E86" s="10"/>
      <c r="F86" s="10"/>
      <c r="G86" s="12">
        <f>ROUNDUP(D86*README!$B$13*(1+README!$B$14),0)</f>
        <v>1</v>
      </c>
      <c r="H86" s="12">
        <f>G86+ROUNDUP(D86*README!$B$15,0)</f>
        <v>3</v>
      </c>
    </row>
    <row r="87" spans="1:8" x14ac:dyDescent="0.25">
      <c r="A87" s="10" t="s">
        <v>172</v>
      </c>
      <c r="B87" s="10" t="s">
        <v>173</v>
      </c>
      <c r="C87" s="10">
        <v>9</v>
      </c>
      <c r="D87" s="11">
        <v>0.1</v>
      </c>
      <c r="E87" s="10"/>
      <c r="F87" s="10"/>
      <c r="G87" s="12">
        <f>ROUNDUP(D87*README!$B$13*(1+README!$B$14),0)</f>
        <v>1</v>
      </c>
      <c r="H87" s="12">
        <f>G87+ROUNDUP(D87*README!$B$15,0)</f>
        <v>3</v>
      </c>
    </row>
    <row r="88" spans="1:8" x14ac:dyDescent="0.25">
      <c r="A88" s="10" t="s">
        <v>61</v>
      </c>
      <c r="B88" s="10" t="s">
        <v>174</v>
      </c>
      <c r="C88" s="10">
        <v>5</v>
      </c>
      <c r="D88" s="11">
        <v>5.6000000000000001E-2</v>
      </c>
      <c r="E88" s="10"/>
      <c r="F88" s="10"/>
      <c r="G88" s="12">
        <f>ROUNDUP(D88*README!$B$13*(1+README!$B$14),0)</f>
        <v>1</v>
      </c>
      <c r="H88" s="12">
        <f>G88+ROUNDUP(D88*README!$B$15,0)</f>
        <v>2</v>
      </c>
    </row>
    <row r="89" spans="1:8" x14ac:dyDescent="0.25">
      <c r="A89" s="10" t="s">
        <v>175</v>
      </c>
      <c r="B89" s="10" t="s">
        <v>176</v>
      </c>
      <c r="C89" s="10">
        <v>5</v>
      </c>
      <c r="D89" s="11">
        <v>5.6000000000000001E-2</v>
      </c>
      <c r="E89" s="10"/>
      <c r="F89" s="10"/>
      <c r="G89" s="12">
        <f>ROUNDUP(D89*README!$B$13*(1+README!$B$14),0)</f>
        <v>1</v>
      </c>
      <c r="H89" s="12">
        <f>G89+ROUNDUP(D89*README!$B$15,0)</f>
        <v>2</v>
      </c>
    </row>
    <row r="90" spans="1:8" x14ac:dyDescent="0.25">
      <c r="A90" s="10" t="s">
        <v>25</v>
      </c>
      <c r="B90" s="10" t="s">
        <v>177</v>
      </c>
      <c r="C90" s="10">
        <v>8</v>
      </c>
      <c r="D90" s="11">
        <v>8.8999999999999996E-2</v>
      </c>
      <c r="E90" s="10"/>
      <c r="F90" s="10"/>
      <c r="G90" s="12">
        <f>ROUNDUP(D90*README!$B$13*(1+README!$B$14),0)</f>
        <v>1</v>
      </c>
      <c r="H90" s="12">
        <f>G90+ROUNDUP(D90*README!$B$15,0)</f>
        <v>3</v>
      </c>
    </row>
    <row r="91" spans="1:8" x14ac:dyDescent="0.25">
      <c r="A91" s="10" t="s">
        <v>178</v>
      </c>
      <c r="B91" s="10" t="s">
        <v>179</v>
      </c>
      <c r="C91" s="10">
        <v>7</v>
      </c>
      <c r="D91" s="11">
        <v>7.8E-2</v>
      </c>
      <c r="E91" s="10"/>
      <c r="F91" s="10"/>
      <c r="G91" s="12">
        <f>ROUNDUP(D91*README!$B$13*(1+README!$B$14),0)</f>
        <v>1</v>
      </c>
      <c r="H91" s="12">
        <f>G91+ROUNDUP(D91*README!$B$15,0)</f>
        <v>3</v>
      </c>
    </row>
    <row r="92" spans="1:8" x14ac:dyDescent="0.25">
      <c r="A92" s="10" t="s">
        <v>61</v>
      </c>
      <c r="B92" s="10" t="s">
        <v>180</v>
      </c>
      <c r="C92" s="10">
        <v>6</v>
      </c>
      <c r="D92" s="11">
        <v>6.7000000000000004E-2</v>
      </c>
      <c r="E92" s="10"/>
      <c r="F92" s="10"/>
      <c r="G92" s="12">
        <f>ROUNDUP(D92*README!$B$13*(1+README!$B$14),0)</f>
        <v>1</v>
      </c>
      <c r="H92" s="12">
        <f>G92+ROUNDUP(D92*README!$B$15,0)</f>
        <v>2</v>
      </c>
    </row>
    <row r="93" spans="1:8" x14ac:dyDescent="0.25">
      <c r="A93" s="10" t="s">
        <v>181</v>
      </c>
      <c r="B93" s="10" t="s">
        <v>182</v>
      </c>
      <c r="C93" s="10">
        <v>5</v>
      </c>
      <c r="D93" s="11">
        <v>5.6000000000000001E-2</v>
      </c>
      <c r="E93" s="10"/>
      <c r="F93" s="10"/>
      <c r="G93" s="12">
        <f>ROUNDUP(D93*README!$B$13*(1+README!$B$14),0)</f>
        <v>1</v>
      </c>
      <c r="H93" s="12">
        <f>G93+ROUNDUP(D93*README!$B$15,0)</f>
        <v>2</v>
      </c>
    </row>
    <row r="94" spans="1:8" x14ac:dyDescent="0.25">
      <c r="A94" s="10" t="s">
        <v>183</v>
      </c>
      <c r="B94" s="10" t="s">
        <v>184</v>
      </c>
      <c r="C94" s="10">
        <v>6</v>
      </c>
      <c r="D94" s="11">
        <v>6.7000000000000004E-2</v>
      </c>
      <c r="E94" s="10"/>
      <c r="F94" s="10"/>
      <c r="G94" s="12">
        <f>ROUNDUP(D94*README!$B$13*(1+README!$B$14),0)</f>
        <v>1</v>
      </c>
      <c r="H94" s="12">
        <f>G94+ROUNDUP(D94*README!$B$15,0)</f>
        <v>2</v>
      </c>
    </row>
    <row r="95" spans="1:8" x14ac:dyDescent="0.25">
      <c r="A95" s="10" t="s">
        <v>185</v>
      </c>
      <c r="B95" s="10" t="s">
        <v>186</v>
      </c>
      <c r="C95" s="10">
        <v>7</v>
      </c>
      <c r="D95" s="11">
        <v>7.8E-2</v>
      </c>
      <c r="E95" s="10"/>
      <c r="F95" s="10"/>
      <c r="G95" s="12">
        <f>ROUNDUP(D95*README!$B$13*(1+README!$B$14),0)</f>
        <v>1</v>
      </c>
      <c r="H95" s="12">
        <f>G95+ROUNDUP(D95*README!$B$15,0)</f>
        <v>3</v>
      </c>
    </row>
    <row r="96" spans="1:8" x14ac:dyDescent="0.25">
      <c r="A96" s="10" t="s">
        <v>187</v>
      </c>
      <c r="B96" s="10" t="s">
        <v>188</v>
      </c>
      <c r="C96" s="10">
        <v>0</v>
      </c>
      <c r="D96" s="11">
        <v>0</v>
      </c>
      <c r="E96" s="10"/>
      <c r="F96" s="10"/>
      <c r="G96" s="12">
        <f>ROUNDUP(D96*README!$B$13*(1+README!$B$14),0)</f>
        <v>0</v>
      </c>
      <c r="H96" s="12">
        <f>G96+ROUNDUP(D96*README!$B$15,0)</f>
        <v>0</v>
      </c>
    </row>
    <row r="97" spans="1:8" x14ac:dyDescent="0.25">
      <c r="A97" s="10" t="s">
        <v>25</v>
      </c>
      <c r="B97" s="10" t="s">
        <v>189</v>
      </c>
      <c r="C97" s="10">
        <v>0</v>
      </c>
      <c r="D97" s="11">
        <v>0</v>
      </c>
      <c r="E97" s="10"/>
      <c r="F97" s="10"/>
      <c r="G97" s="12">
        <f>ROUNDUP(D97*README!$B$13*(1+README!$B$14),0)</f>
        <v>0</v>
      </c>
      <c r="H97" s="12">
        <f>G97+ROUNDUP(D97*README!$B$15,0)</f>
        <v>0</v>
      </c>
    </row>
    <row r="98" spans="1:8" x14ac:dyDescent="0.25">
      <c r="A98" s="10" t="s">
        <v>25</v>
      </c>
      <c r="B98" s="10" t="s">
        <v>190</v>
      </c>
      <c r="C98" s="10">
        <v>0</v>
      </c>
      <c r="D98" s="11">
        <v>0</v>
      </c>
      <c r="E98" s="10"/>
      <c r="F98" s="10"/>
      <c r="G98" s="12">
        <f>ROUNDUP(D98*README!$B$13*(1+README!$B$14),0)</f>
        <v>0</v>
      </c>
      <c r="H98" s="12">
        <f>G98+ROUNDUP(D98*README!$B$15,0)</f>
        <v>0</v>
      </c>
    </row>
    <row r="99" spans="1:8" x14ac:dyDescent="0.25">
      <c r="A99" s="10" t="s">
        <v>191</v>
      </c>
      <c r="B99" s="10" t="s">
        <v>192</v>
      </c>
      <c r="C99" s="10">
        <v>0</v>
      </c>
      <c r="D99" s="11">
        <v>0</v>
      </c>
      <c r="E99" s="10"/>
      <c r="F99" s="10"/>
      <c r="G99" s="12">
        <f>ROUNDUP(D99*README!$B$13*(1+README!$B$14),0)</f>
        <v>0</v>
      </c>
      <c r="H99" s="12">
        <f>G99+ROUNDUP(D99*README!$B$15,0)</f>
        <v>0</v>
      </c>
    </row>
    <row r="100" spans="1:8" x14ac:dyDescent="0.25">
      <c r="A100" s="10" t="s">
        <v>30</v>
      </c>
      <c r="B100" s="10" t="s">
        <v>193</v>
      </c>
      <c r="C100" s="10">
        <v>0</v>
      </c>
      <c r="D100" s="11">
        <v>0</v>
      </c>
      <c r="E100" s="10"/>
      <c r="F100" s="10"/>
      <c r="G100" s="12">
        <f>ROUNDUP(D100*README!$B$13*(1+README!$B$14),0)</f>
        <v>0</v>
      </c>
      <c r="H100" s="12">
        <f>G100+ROUNDUP(D100*README!$B$15,0)</f>
        <v>0</v>
      </c>
    </row>
    <row r="101" spans="1:8" x14ac:dyDescent="0.25">
      <c r="A101" s="10" t="s">
        <v>25</v>
      </c>
      <c r="B101" s="10" t="s">
        <v>194</v>
      </c>
      <c r="C101" s="10">
        <v>0</v>
      </c>
      <c r="D101" s="11">
        <v>0</v>
      </c>
      <c r="E101" s="10"/>
      <c r="F101" s="10"/>
      <c r="G101" s="12">
        <f>ROUNDUP(D101*README!$B$13*(1+README!$B$14),0)</f>
        <v>0</v>
      </c>
      <c r="H101" s="12">
        <f>G101+ROUNDUP(D101*README!$B$15,0)</f>
        <v>0</v>
      </c>
    </row>
  </sheetData>
  <autoFilter ref="A1:H1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2" width="45" customWidth="1"/>
    <col min="3" max="3" width="22" customWidth="1"/>
    <col min="4" max="4" width="16" customWidth="1"/>
    <col min="5" max="7" width="18" customWidth="1"/>
    <col min="8" max="8" width="24" customWidth="1"/>
  </cols>
  <sheetData>
    <row r="1" spans="1:8" ht="30" customHeight="1" x14ac:dyDescent="0.25">
      <c r="A1" s="9" t="s">
        <v>17</v>
      </c>
      <c r="B1" s="9" t="s">
        <v>18</v>
      </c>
      <c r="C1" s="9" t="s">
        <v>19</v>
      </c>
      <c r="D1" s="9" t="s">
        <v>20</v>
      </c>
      <c r="E1" s="9" t="s">
        <v>21</v>
      </c>
      <c r="F1" s="9" t="s">
        <v>22</v>
      </c>
      <c r="G1" s="9" t="s">
        <v>23</v>
      </c>
      <c r="H1" s="9" t="s">
        <v>24</v>
      </c>
    </row>
    <row r="2" spans="1:8" x14ac:dyDescent="0.25">
      <c r="A2" s="10" t="s">
        <v>28</v>
      </c>
      <c r="B2" s="10" t="s">
        <v>29</v>
      </c>
      <c r="C2" s="10">
        <v>22</v>
      </c>
      <c r="D2" s="11">
        <v>0.24399999999999999</v>
      </c>
      <c r="E2" s="10"/>
      <c r="F2" s="10"/>
      <c r="G2" s="12">
        <f>ROUNDUP(D2*README!$B$13*(1+README!$B$14),0)</f>
        <v>3</v>
      </c>
      <c r="H2" s="12">
        <f>G2+ROUNDUP(D2*README!$B$15,0)</f>
        <v>7</v>
      </c>
    </row>
    <row r="3" spans="1:8" x14ac:dyDescent="0.25">
      <c r="A3" s="10" t="s">
        <v>30</v>
      </c>
      <c r="B3" s="10" t="s">
        <v>44</v>
      </c>
      <c r="C3" s="10">
        <v>12</v>
      </c>
      <c r="D3" s="11">
        <v>0.13300000000000001</v>
      </c>
      <c r="E3" s="10"/>
      <c r="F3" s="10"/>
      <c r="G3" s="12">
        <f>ROUNDUP(D3*README!$B$13*(1+README!$B$14),0)</f>
        <v>2</v>
      </c>
      <c r="H3" s="12">
        <f>G3+ROUNDUP(D3*README!$B$15,0)</f>
        <v>4</v>
      </c>
    </row>
    <row r="4" spans="1:8" x14ac:dyDescent="0.25">
      <c r="A4" s="10" t="s">
        <v>63</v>
      </c>
      <c r="B4" s="10" t="s">
        <v>63</v>
      </c>
      <c r="C4" s="10">
        <v>14</v>
      </c>
      <c r="D4" s="11">
        <v>0.156</v>
      </c>
      <c r="E4" s="10"/>
      <c r="F4" s="10"/>
      <c r="G4" s="12">
        <f>ROUNDUP(D4*README!$B$13*(1+README!$B$14),0)</f>
        <v>2</v>
      </c>
      <c r="H4" s="12">
        <f>G4+ROUNDUP(D4*README!$B$15,0)</f>
        <v>5</v>
      </c>
    </row>
    <row r="5" spans="1:8" x14ac:dyDescent="0.25">
      <c r="A5" s="10" t="s">
        <v>25</v>
      </c>
      <c r="B5" s="10" t="s">
        <v>26</v>
      </c>
      <c r="C5" s="10">
        <v>4</v>
      </c>
      <c r="D5" s="11">
        <v>4.3999999999999997E-2</v>
      </c>
      <c r="E5" s="10"/>
      <c r="F5" s="10"/>
      <c r="G5" s="12">
        <f>ROUNDUP(D5*README!$B$13*(1+README!$B$14),0)</f>
        <v>1</v>
      </c>
      <c r="H5" s="12">
        <f>G5+ROUNDUP(D5*README!$B$15,0)</f>
        <v>2</v>
      </c>
    </row>
    <row r="6" spans="1:8" x14ac:dyDescent="0.25">
      <c r="A6" s="10" t="s">
        <v>25</v>
      </c>
      <c r="B6" s="10" t="s">
        <v>27</v>
      </c>
      <c r="C6" s="10">
        <v>9</v>
      </c>
      <c r="D6" s="11">
        <v>0.1</v>
      </c>
      <c r="E6" s="10"/>
      <c r="F6" s="10"/>
      <c r="G6" s="12">
        <f>ROUNDUP(D6*README!$B$13*(1+README!$B$14),0)</f>
        <v>1</v>
      </c>
      <c r="H6" s="12">
        <f>G6+ROUNDUP(D6*README!$B$15,0)</f>
        <v>3</v>
      </c>
    </row>
    <row r="7" spans="1:8" x14ac:dyDescent="0.25">
      <c r="A7" s="10" t="s">
        <v>30</v>
      </c>
      <c r="B7" s="10" t="s">
        <v>31</v>
      </c>
      <c r="C7" s="10">
        <v>4</v>
      </c>
      <c r="D7" s="11">
        <v>4.3999999999999997E-2</v>
      </c>
      <c r="E7" s="10"/>
      <c r="F7" s="10"/>
      <c r="G7" s="12">
        <f>ROUNDUP(D7*README!$B$13*(1+README!$B$14),0)</f>
        <v>1</v>
      </c>
      <c r="H7" s="12">
        <f>G7+ROUNDUP(D7*README!$B$15,0)</f>
        <v>2</v>
      </c>
    </row>
    <row r="8" spans="1:8" x14ac:dyDescent="0.25">
      <c r="A8" s="10" t="s">
        <v>32</v>
      </c>
      <c r="B8" s="10" t="s">
        <v>33</v>
      </c>
      <c r="C8" s="10">
        <v>9</v>
      </c>
      <c r="D8" s="11">
        <v>0.1</v>
      </c>
      <c r="E8" s="10"/>
      <c r="F8" s="10"/>
      <c r="G8" s="12">
        <f>ROUNDUP(D8*README!$B$13*(1+README!$B$14),0)</f>
        <v>1</v>
      </c>
      <c r="H8" s="12">
        <f>G8+ROUNDUP(D8*README!$B$15,0)</f>
        <v>3</v>
      </c>
    </row>
    <row r="9" spans="1:8" x14ac:dyDescent="0.25">
      <c r="A9" s="10" t="s">
        <v>40</v>
      </c>
      <c r="B9" s="10" t="s">
        <v>41</v>
      </c>
      <c r="C9" s="10">
        <v>1</v>
      </c>
      <c r="D9" s="11">
        <v>1.0999999999999999E-2</v>
      </c>
      <c r="E9" s="10"/>
      <c r="F9" s="10"/>
      <c r="G9" s="12">
        <f>ROUNDUP(D9*README!$B$13*(1+README!$B$14),0)</f>
        <v>1</v>
      </c>
      <c r="H9" s="12">
        <f>G9+ROUNDUP(D9*README!$B$15,0)</f>
        <v>2</v>
      </c>
    </row>
    <row r="10" spans="1:8" x14ac:dyDescent="0.25">
      <c r="A10" s="10" t="s">
        <v>105</v>
      </c>
      <c r="B10" s="10" t="s">
        <v>110</v>
      </c>
      <c r="C10" s="10">
        <v>4</v>
      </c>
      <c r="D10" s="11">
        <v>4.3999999999999997E-2</v>
      </c>
      <c r="E10" s="10"/>
      <c r="F10" s="10"/>
      <c r="G10" s="12">
        <f>ROUNDUP(D10*README!$B$13*(1+README!$B$14),0)</f>
        <v>1</v>
      </c>
      <c r="H10" s="12">
        <f>G10+ROUNDUP(D10*README!$B$15,0)</f>
        <v>2</v>
      </c>
    </row>
    <row r="11" spans="1:8" x14ac:dyDescent="0.25">
      <c r="A11" s="10" t="s">
        <v>55</v>
      </c>
      <c r="B11" s="10" t="s">
        <v>56</v>
      </c>
      <c r="C11" s="10">
        <v>2</v>
      </c>
      <c r="D11" s="11">
        <v>2.1999999999999999E-2</v>
      </c>
      <c r="E11" s="10"/>
      <c r="F11" s="10"/>
      <c r="G11" s="12">
        <f>ROUNDUP(D11*README!$B$13*(1+README!$B$14),0)</f>
        <v>1</v>
      </c>
      <c r="H11" s="12">
        <f>G11+ROUNDUP(D11*README!$B$15,0)</f>
        <v>2</v>
      </c>
    </row>
    <row r="12" spans="1:8" x14ac:dyDescent="0.25">
      <c r="A12" s="10" t="s">
        <v>59</v>
      </c>
      <c r="B12" s="10" t="s">
        <v>60</v>
      </c>
      <c r="C12" s="10">
        <v>9</v>
      </c>
      <c r="D12" s="11">
        <v>0.1</v>
      </c>
      <c r="E12" s="10"/>
      <c r="F12" s="10"/>
      <c r="G12" s="12">
        <f>ROUNDUP(D12*README!$B$13*(1+README!$B$14),0)</f>
        <v>1</v>
      </c>
      <c r="H12" s="12">
        <f>G12+ROUNDUP(D12*README!$B$15,0)</f>
        <v>3</v>
      </c>
    </row>
    <row r="13" spans="1:8" x14ac:dyDescent="0.25">
      <c r="A13" s="10" t="s">
        <v>61</v>
      </c>
      <c r="B13" s="10" t="s">
        <v>62</v>
      </c>
      <c r="C13" s="10">
        <v>2</v>
      </c>
      <c r="D13" s="11">
        <v>2.1999999999999999E-2</v>
      </c>
      <c r="E13" s="10"/>
      <c r="F13" s="10"/>
      <c r="G13" s="12">
        <f>ROUNDUP(D13*README!$B$13*(1+README!$B$14),0)</f>
        <v>1</v>
      </c>
      <c r="H13" s="12">
        <f>G13+ROUNDUP(D13*README!$B$15,0)</f>
        <v>2</v>
      </c>
    </row>
    <row r="14" spans="1:8" x14ac:dyDescent="0.25">
      <c r="A14" s="10" t="s">
        <v>113</v>
      </c>
      <c r="B14" s="10" t="s">
        <v>114</v>
      </c>
      <c r="C14" s="10">
        <v>3</v>
      </c>
      <c r="D14" s="11">
        <v>3.3000000000000002E-2</v>
      </c>
      <c r="E14" s="10"/>
      <c r="F14" s="10"/>
      <c r="G14" s="12">
        <f>ROUNDUP(D14*README!$B$13*(1+README!$B$14),0)</f>
        <v>1</v>
      </c>
      <c r="H14" s="12">
        <f>G14+ROUNDUP(D14*README!$B$15,0)</f>
        <v>2</v>
      </c>
    </row>
    <row r="15" spans="1:8" x14ac:dyDescent="0.25">
      <c r="A15" s="10" t="s">
        <v>64</v>
      </c>
      <c r="B15" s="10" t="s">
        <v>65</v>
      </c>
      <c r="C15" s="10">
        <v>5</v>
      </c>
      <c r="D15" s="11">
        <v>5.6000000000000001E-2</v>
      </c>
      <c r="E15" s="10"/>
      <c r="F15" s="10"/>
      <c r="G15" s="12">
        <f>ROUNDUP(D15*README!$B$13*(1+README!$B$14),0)</f>
        <v>1</v>
      </c>
      <c r="H15" s="12">
        <f>G15+ROUNDUP(D15*README!$B$15,0)</f>
        <v>2</v>
      </c>
    </row>
    <row r="16" spans="1:8" x14ac:dyDescent="0.25">
      <c r="A16" s="10" t="s">
        <v>115</v>
      </c>
      <c r="B16" s="10" t="s">
        <v>116</v>
      </c>
      <c r="C16" s="10">
        <v>9</v>
      </c>
      <c r="D16" s="11">
        <v>0.1</v>
      </c>
      <c r="E16" s="10"/>
      <c r="F16" s="10"/>
      <c r="G16" s="12">
        <f>ROUNDUP(D16*README!$B$13*(1+README!$B$14),0)</f>
        <v>1</v>
      </c>
      <c r="H16" s="12">
        <f>G16+ROUNDUP(D16*README!$B$15,0)</f>
        <v>3</v>
      </c>
    </row>
    <row r="17" spans="1:8" x14ac:dyDescent="0.25">
      <c r="A17" s="10" t="s">
        <v>25</v>
      </c>
      <c r="B17" s="10" t="s">
        <v>72</v>
      </c>
      <c r="C17" s="10">
        <v>3</v>
      </c>
      <c r="D17" s="11">
        <v>3.3000000000000002E-2</v>
      </c>
      <c r="E17" s="10"/>
      <c r="F17" s="10"/>
      <c r="G17" s="12">
        <f>ROUNDUP(D17*README!$B$13*(1+README!$B$14),0)</f>
        <v>1</v>
      </c>
      <c r="H17" s="12">
        <f>G17+ROUNDUP(D17*README!$B$15,0)</f>
        <v>2</v>
      </c>
    </row>
    <row r="18" spans="1:8" x14ac:dyDescent="0.25">
      <c r="A18" s="10" t="s">
        <v>73</v>
      </c>
      <c r="B18" s="10" t="s">
        <v>74</v>
      </c>
      <c r="C18" s="10">
        <v>4</v>
      </c>
      <c r="D18" s="11">
        <v>4.3999999999999997E-2</v>
      </c>
      <c r="E18" s="10"/>
      <c r="F18" s="10"/>
      <c r="G18" s="12">
        <f>ROUNDUP(D18*README!$B$13*(1+README!$B$14),0)</f>
        <v>1</v>
      </c>
      <c r="H18" s="12">
        <f>G18+ROUNDUP(D18*README!$B$15,0)</f>
        <v>2</v>
      </c>
    </row>
    <row r="19" spans="1:8" x14ac:dyDescent="0.25">
      <c r="A19" s="10" t="s">
        <v>121</v>
      </c>
      <c r="B19" s="10" t="s">
        <v>122</v>
      </c>
      <c r="C19" s="10">
        <v>1</v>
      </c>
      <c r="D19" s="11">
        <v>1.0999999999999999E-2</v>
      </c>
      <c r="E19" s="10"/>
      <c r="F19" s="10"/>
      <c r="G19" s="12">
        <f>ROUNDUP(D19*README!$B$13*(1+README!$B$14),0)</f>
        <v>1</v>
      </c>
      <c r="H19" s="12">
        <f>G19+ROUNDUP(D19*README!$B$15,0)</f>
        <v>2</v>
      </c>
    </row>
    <row r="20" spans="1:8" x14ac:dyDescent="0.25">
      <c r="A20" s="10" t="s">
        <v>25</v>
      </c>
      <c r="B20" s="10" t="s">
        <v>79</v>
      </c>
      <c r="C20" s="10">
        <v>3</v>
      </c>
      <c r="D20" s="11">
        <v>3.3000000000000002E-2</v>
      </c>
      <c r="E20" s="10"/>
      <c r="F20" s="10"/>
      <c r="G20" s="12">
        <f>ROUNDUP(D20*README!$B$13*(1+README!$B$14),0)</f>
        <v>1</v>
      </c>
      <c r="H20" s="12">
        <f>G20+ROUNDUP(D20*README!$B$15,0)</f>
        <v>2</v>
      </c>
    </row>
    <row r="21" spans="1:8" x14ac:dyDescent="0.25">
      <c r="A21" s="10" t="s">
        <v>25</v>
      </c>
      <c r="B21" s="10" t="s">
        <v>123</v>
      </c>
      <c r="C21" s="10">
        <v>5</v>
      </c>
      <c r="D21" s="11">
        <v>5.6000000000000001E-2</v>
      </c>
      <c r="E21" s="10"/>
      <c r="F21" s="10"/>
      <c r="G21" s="12">
        <f>ROUNDUP(D21*README!$B$13*(1+README!$B$14),0)</f>
        <v>1</v>
      </c>
      <c r="H21" s="12">
        <f>G21+ROUNDUP(D21*README!$B$15,0)</f>
        <v>2</v>
      </c>
    </row>
    <row r="22" spans="1:8" x14ac:dyDescent="0.25">
      <c r="A22" s="10" t="s">
        <v>25</v>
      </c>
      <c r="B22" s="10" t="s">
        <v>49</v>
      </c>
      <c r="C22" s="10">
        <v>1</v>
      </c>
      <c r="D22" s="11">
        <v>1.0999999999999999E-2</v>
      </c>
      <c r="E22" s="10"/>
      <c r="F22" s="10"/>
      <c r="G22" s="12">
        <f>ROUNDUP(D22*README!$B$13*(1+README!$B$14),0)</f>
        <v>1</v>
      </c>
      <c r="H22" s="12">
        <f>G22+ROUNDUP(D22*README!$B$15,0)</f>
        <v>2</v>
      </c>
    </row>
    <row r="23" spans="1:8" x14ac:dyDescent="0.25">
      <c r="A23" s="10" t="s">
        <v>82</v>
      </c>
      <c r="B23" s="10" t="s">
        <v>83</v>
      </c>
      <c r="C23" s="10">
        <v>1</v>
      </c>
      <c r="D23" s="11">
        <v>1.0999999999999999E-2</v>
      </c>
      <c r="E23" s="10"/>
      <c r="F23" s="10"/>
      <c r="G23" s="12">
        <f>ROUNDUP(D23*README!$B$13*(1+README!$B$14),0)</f>
        <v>1</v>
      </c>
      <c r="H23" s="12">
        <f>G23+ROUNDUP(D23*README!$B$15,0)</f>
        <v>2</v>
      </c>
    </row>
    <row r="24" spans="1:8" x14ac:dyDescent="0.25">
      <c r="A24" s="10" t="s">
        <v>124</v>
      </c>
      <c r="B24" s="10" t="s">
        <v>125</v>
      </c>
      <c r="C24" s="10">
        <v>3</v>
      </c>
      <c r="D24" s="11">
        <v>3.3000000000000002E-2</v>
      </c>
      <c r="E24" s="10"/>
      <c r="F24" s="10"/>
      <c r="G24" s="12">
        <f>ROUNDUP(D24*README!$B$13*(1+README!$B$14),0)</f>
        <v>1</v>
      </c>
      <c r="H24" s="12">
        <f>G24+ROUNDUP(D24*README!$B$15,0)</f>
        <v>2</v>
      </c>
    </row>
    <row r="25" spans="1:8" x14ac:dyDescent="0.25">
      <c r="A25" s="10" t="s">
        <v>126</v>
      </c>
      <c r="B25" s="10" t="s">
        <v>127</v>
      </c>
      <c r="C25" s="10">
        <v>5</v>
      </c>
      <c r="D25" s="11">
        <v>5.6000000000000001E-2</v>
      </c>
      <c r="E25" s="10"/>
      <c r="F25" s="10"/>
      <c r="G25" s="12">
        <f>ROUNDUP(D25*README!$B$13*(1+README!$B$14),0)</f>
        <v>1</v>
      </c>
      <c r="H25" s="12">
        <f>G25+ROUNDUP(D25*README!$B$15,0)</f>
        <v>2</v>
      </c>
    </row>
    <row r="26" spans="1:8" x14ac:dyDescent="0.25">
      <c r="A26" s="10" t="s">
        <v>25</v>
      </c>
      <c r="B26" s="10" t="s">
        <v>50</v>
      </c>
      <c r="C26" s="10">
        <v>4</v>
      </c>
      <c r="D26" s="11">
        <v>4.3999999999999997E-2</v>
      </c>
      <c r="E26" s="10"/>
      <c r="F26" s="10"/>
      <c r="G26" s="12">
        <f>ROUNDUP(D26*README!$B$13*(1+README!$B$14),0)</f>
        <v>1</v>
      </c>
      <c r="H26" s="12">
        <f>G26+ROUNDUP(D26*README!$B$15,0)</f>
        <v>2</v>
      </c>
    </row>
    <row r="27" spans="1:8" x14ac:dyDescent="0.25">
      <c r="A27" s="10" t="s">
        <v>30</v>
      </c>
      <c r="B27" s="10" t="s">
        <v>128</v>
      </c>
      <c r="C27" s="10">
        <v>4</v>
      </c>
      <c r="D27" s="11">
        <v>4.3999999999999997E-2</v>
      </c>
      <c r="E27" s="10"/>
      <c r="F27" s="10"/>
      <c r="G27" s="12">
        <f>ROUNDUP(D27*README!$B$13*(1+README!$B$14),0)</f>
        <v>1</v>
      </c>
      <c r="H27" s="12">
        <f>G27+ROUNDUP(D27*README!$B$15,0)</f>
        <v>2</v>
      </c>
    </row>
    <row r="28" spans="1:8" x14ac:dyDescent="0.25">
      <c r="A28" s="10" t="s">
        <v>86</v>
      </c>
      <c r="B28" s="10" t="s">
        <v>87</v>
      </c>
      <c r="C28" s="10">
        <v>5</v>
      </c>
      <c r="D28" s="11">
        <v>5.6000000000000001E-2</v>
      </c>
      <c r="E28" s="10"/>
      <c r="F28" s="10"/>
      <c r="G28" s="12">
        <f>ROUNDUP(D28*README!$B$13*(1+README!$B$14),0)</f>
        <v>1</v>
      </c>
      <c r="H28" s="12">
        <f>G28+ROUNDUP(D28*README!$B$15,0)</f>
        <v>2</v>
      </c>
    </row>
    <row r="29" spans="1:8" x14ac:dyDescent="0.25">
      <c r="A29" s="10" t="s">
        <v>30</v>
      </c>
      <c r="B29" s="10" t="s">
        <v>88</v>
      </c>
      <c r="C29" s="10">
        <v>3</v>
      </c>
      <c r="D29" s="11">
        <v>3.3000000000000002E-2</v>
      </c>
      <c r="E29" s="10"/>
      <c r="F29" s="10"/>
      <c r="G29" s="12">
        <f>ROUNDUP(D29*README!$B$13*(1+README!$B$14),0)</f>
        <v>1</v>
      </c>
      <c r="H29" s="12">
        <f>G29+ROUNDUP(D29*README!$B$15,0)</f>
        <v>2</v>
      </c>
    </row>
    <row r="30" spans="1:8" x14ac:dyDescent="0.25">
      <c r="A30" s="10" t="s">
        <v>134</v>
      </c>
      <c r="B30" s="10" t="s">
        <v>135</v>
      </c>
      <c r="C30" s="10">
        <v>2</v>
      </c>
      <c r="D30" s="11">
        <v>2.1999999999999999E-2</v>
      </c>
      <c r="E30" s="10"/>
      <c r="F30" s="10"/>
      <c r="G30" s="12">
        <f>ROUNDUP(D30*README!$B$13*(1+README!$B$14),0)</f>
        <v>1</v>
      </c>
      <c r="H30" s="12">
        <f>G30+ROUNDUP(D30*README!$B$15,0)</f>
        <v>2</v>
      </c>
    </row>
    <row r="31" spans="1:8" x14ac:dyDescent="0.25">
      <c r="A31" s="10" t="s">
        <v>64</v>
      </c>
      <c r="B31" s="10" t="s">
        <v>138</v>
      </c>
      <c r="C31" s="10">
        <v>1</v>
      </c>
      <c r="D31" s="11">
        <v>1.0999999999999999E-2</v>
      </c>
      <c r="E31" s="10"/>
      <c r="F31" s="10"/>
      <c r="G31" s="12">
        <f>ROUNDUP(D31*README!$B$13*(1+README!$B$14),0)</f>
        <v>1</v>
      </c>
      <c r="H31" s="12">
        <f>G31+ROUNDUP(D31*README!$B$15,0)</f>
        <v>2</v>
      </c>
    </row>
    <row r="32" spans="1:8" x14ac:dyDescent="0.25">
      <c r="A32" s="10" t="s">
        <v>139</v>
      </c>
      <c r="B32" s="10" t="s">
        <v>140</v>
      </c>
      <c r="C32" s="10">
        <v>4</v>
      </c>
      <c r="D32" s="11">
        <v>4.3999999999999997E-2</v>
      </c>
      <c r="E32" s="10"/>
      <c r="F32" s="10"/>
      <c r="G32" s="12">
        <f>ROUNDUP(D32*README!$B$13*(1+README!$B$14),0)</f>
        <v>1</v>
      </c>
      <c r="H32" s="12">
        <f>G32+ROUNDUP(D32*README!$B$15,0)</f>
        <v>2</v>
      </c>
    </row>
    <row r="33" spans="1:8" x14ac:dyDescent="0.25">
      <c r="A33" s="10" t="s">
        <v>141</v>
      </c>
      <c r="B33" s="10" t="s">
        <v>142</v>
      </c>
      <c r="C33" s="10">
        <v>1</v>
      </c>
      <c r="D33" s="11">
        <v>1.0999999999999999E-2</v>
      </c>
      <c r="E33" s="10"/>
      <c r="F33" s="10"/>
      <c r="G33" s="12">
        <f>ROUNDUP(D33*README!$B$13*(1+README!$B$14),0)</f>
        <v>1</v>
      </c>
      <c r="H33" s="12">
        <f>G33+ROUNDUP(D33*README!$B$15,0)</f>
        <v>2</v>
      </c>
    </row>
    <row r="34" spans="1:8" x14ac:dyDescent="0.25">
      <c r="A34" s="10" t="s">
        <v>95</v>
      </c>
      <c r="B34" s="10" t="s">
        <v>96</v>
      </c>
      <c r="C34" s="10">
        <v>4</v>
      </c>
      <c r="D34" s="11">
        <v>4.3999999999999997E-2</v>
      </c>
      <c r="E34" s="10"/>
      <c r="F34" s="10"/>
      <c r="G34" s="12">
        <f>ROUNDUP(D34*README!$B$13*(1+README!$B$14),0)</f>
        <v>1</v>
      </c>
      <c r="H34" s="12">
        <f>G34+ROUNDUP(D34*README!$B$15,0)</f>
        <v>2</v>
      </c>
    </row>
    <row r="35" spans="1:8" x14ac:dyDescent="0.25">
      <c r="A35" s="10" t="s">
        <v>144</v>
      </c>
      <c r="B35" s="10" t="s">
        <v>145</v>
      </c>
      <c r="C35" s="10">
        <v>2</v>
      </c>
      <c r="D35" s="11">
        <v>2.1999999999999999E-2</v>
      </c>
      <c r="E35" s="10"/>
      <c r="F35" s="10"/>
      <c r="G35" s="12">
        <f>ROUNDUP(D35*README!$B$13*(1+README!$B$14),0)</f>
        <v>1</v>
      </c>
      <c r="H35" s="12">
        <f>G35+ROUNDUP(D35*README!$B$15,0)</f>
        <v>2</v>
      </c>
    </row>
    <row r="36" spans="1:8" x14ac:dyDescent="0.25">
      <c r="A36" s="10" t="s">
        <v>25</v>
      </c>
      <c r="B36" s="10" t="s">
        <v>190</v>
      </c>
      <c r="C36" s="10">
        <v>2</v>
      </c>
      <c r="D36" s="11">
        <v>2.1999999999999999E-2</v>
      </c>
      <c r="E36" s="10"/>
      <c r="F36" s="10"/>
      <c r="G36" s="12">
        <f>ROUNDUP(D36*README!$B$13*(1+README!$B$14),0)</f>
        <v>1</v>
      </c>
      <c r="H36" s="12">
        <f>G36+ROUNDUP(D36*README!$B$15,0)</f>
        <v>2</v>
      </c>
    </row>
    <row r="37" spans="1:8" x14ac:dyDescent="0.25">
      <c r="A37" s="10" t="s">
        <v>103</v>
      </c>
      <c r="B37" s="10" t="s">
        <v>104</v>
      </c>
      <c r="C37" s="10">
        <v>2</v>
      </c>
      <c r="D37" s="11">
        <v>2.1999999999999999E-2</v>
      </c>
      <c r="E37" s="10"/>
      <c r="F37" s="10"/>
      <c r="G37" s="12">
        <f>ROUNDUP(D37*README!$B$13*(1+README!$B$14),0)</f>
        <v>1</v>
      </c>
      <c r="H37" s="12">
        <f>G37+ROUNDUP(D37*README!$B$15,0)</f>
        <v>2</v>
      </c>
    </row>
    <row r="38" spans="1:8" x14ac:dyDescent="0.25">
      <c r="A38" s="10" t="s">
        <v>147</v>
      </c>
      <c r="B38" s="10" t="s">
        <v>148</v>
      </c>
      <c r="C38" s="10">
        <v>5</v>
      </c>
      <c r="D38" s="11">
        <v>5.6000000000000001E-2</v>
      </c>
      <c r="E38" s="10"/>
      <c r="F38" s="10"/>
      <c r="G38" s="12">
        <f>ROUNDUP(D38*README!$B$13*(1+README!$B$14),0)</f>
        <v>1</v>
      </c>
      <c r="H38" s="12">
        <f>G38+ROUNDUP(D38*README!$B$15,0)</f>
        <v>2</v>
      </c>
    </row>
    <row r="39" spans="1:8" x14ac:dyDescent="0.25">
      <c r="A39" s="10" t="s">
        <v>149</v>
      </c>
      <c r="B39" s="10" t="s">
        <v>150</v>
      </c>
      <c r="C39" s="10">
        <v>2</v>
      </c>
      <c r="D39" s="11">
        <v>2.1999999999999999E-2</v>
      </c>
      <c r="E39" s="10"/>
      <c r="F39" s="10"/>
      <c r="G39" s="12">
        <f>ROUNDUP(D39*README!$B$13*(1+README!$B$14),0)</f>
        <v>1</v>
      </c>
      <c r="H39" s="12">
        <f>G39+ROUNDUP(D39*README!$B$15,0)</f>
        <v>2</v>
      </c>
    </row>
    <row r="40" spans="1:8" x14ac:dyDescent="0.25">
      <c r="A40" s="10" t="s">
        <v>151</v>
      </c>
      <c r="B40" s="10" t="s">
        <v>152</v>
      </c>
      <c r="C40" s="10">
        <v>2</v>
      </c>
      <c r="D40" s="11">
        <v>2.1999999999999999E-2</v>
      </c>
      <c r="E40" s="10"/>
      <c r="F40" s="10"/>
      <c r="G40" s="12">
        <f>ROUNDUP(D40*README!$B$13*(1+README!$B$14),0)</f>
        <v>1</v>
      </c>
      <c r="H40" s="12">
        <f>G40+ROUNDUP(D40*README!$B$15,0)</f>
        <v>2</v>
      </c>
    </row>
    <row r="41" spans="1:8" x14ac:dyDescent="0.25">
      <c r="A41" s="10" t="s">
        <v>153</v>
      </c>
      <c r="B41" s="10" t="s">
        <v>154</v>
      </c>
      <c r="C41" s="10">
        <v>7</v>
      </c>
      <c r="D41" s="11">
        <v>7.8E-2</v>
      </c>
      <c r="E41" s="10"/>
      <c r="F41" s="10"/>
      <c r="G41" s="12">
        <f>ROUNDUP(D41*README!$B$13*(1+README!$B$14),0)</f>
        <v>1</v>
      </c>
      <c r="H41" s="12">
        <f>G41+ROUNDUP(D41*README!$B$15,0)</f>
        <v>3</v>
      </c>
    </row>
    <row r="42" spans="1:8" x14ac:dyDescent="0.25">
      <c r="A42" s="10" t="s">
        <v>157</v>
      </c>
      <c r="B42" s="10" t="s">
        <v>158</v>
      </c>
      <c r="C42" s="10">
        <v>1</v>
      </c>
      <c r="D42" s="11">
        <v>1.0999999999999999E-2</v>
      </c>
      <c r="E42" s="10"/>
      <c r="F42" s="10"/>
      <c r="G42" s="12">
        <f>ROUNDUP(D42*README!$B$13*(1+README!$B$14),0)</f>
        <v>1</v>
      </c>
      <c r="H42" s="12">
        <f>G42+ROUNDUP(D42*README!$B$15,0)</f>
        <v>2</v>
      </c>
    </row>
    <row r="43" spans="1:8" x14ac:dyDescent="0.25">
      <c r="A43" s="10" t="s">
        <v>161</v>
      </c>
      <c r="B43" s="10" t="s">
        <v>162</v>
      </c>
      <c r="C43" s="10">
        <v>1</v>
      </c>
      <c r="D43" s="11">
        <v>1.0999999999999999E-2</v>
      </c>
      <c r="E43" s="10"/>
      <c r="F43" s="10"/>
      <c r="G43" s="12">
        <f>ROUNDUP(D43*README!$B$13*(1+README!$B$14),0)</f>
        <v>1</v>
      </c>
      <c r="H43" s="12">
        <f>G43+ROUNDUP(D43*README!$B$15,0)</f>
        <v>2</v>
      </c>
    </row>
    <row r="44" spans="1:8" x14ac:dyDescent="0.25">
      <c r="A44" s="10" t="s">
        <v>191</v>
      </c>
      <c r="B44" s="10" t="s">
        <v>192</v>
      </c>
      <c r="C44" s="10">
        <v>1</v>
      </c>
      <c r="D44" s="11">
        <v>1.0999999999999999E-2</v>
      </c>
      <c r="E44" s="10"/>
      <c r="F44" s="10"/>
      <c r="G44" s="12">
        <f>ROUNDUP(D44*README!$B$13*(1+README!$B$14),0)</f>
        <v>1</v>
      </c>
      <c r="H44" s="12">
        <f>G44+ROUNDUP(D44*README!$B$15,0)</f>
        <v>2</v>
      </c>
    </row>
    <row r="45" spans="1:8" x14ac:dyDescent="0.25">
      <c r="A45" s="10" t="s">
        <v>64</v>
      </c>
      <c r="B45" s="10" t="s">
        <v>165</v>
      </c>
      <c r="C45" s="10">
        <v>2</v>
      </c>
      <c r="D45" s="11">
        <v>2.1999999999999999E-2</v>
      </c>
      <c r="E45" s="10"/>
      <c r="F45" s="10"/>
      <c r="G45" s="12">
        <f>ROUNDUP(D45*README!$B$13*(1+README!$B$14),0)</f>
        <v>1</v>
      </c>
      <c r="H45" s="12">
        <f>G45+ROUNDUP(D45*README!$B$15,0)</f>
        <v>2</v>
      </c>
    </row>
    <row r="46" spans="1:8" x14ac:dyDescent="0.25">
      <c r="A46" s="10" t="s">
        <v>166</v>
      </c>
      <c r="B46" s="10" t="s">
        <v>167</v>
      </c>
      <c r="C46" s="10">
        <v>3</v>
      </c>
      <c r="D46" s="11">
        <v>3.3000000000000002E-2</v>
      </c>
      <c r="E46" s="10"/>
      <c r="F46" s="10"/>
      <c r="G46" s="12">
        <f>ROUNDUP(D46*README!$B$13*(1+README!$B$14),0)</f>
        <v>1</v>
      </c>
      <c r="H46" s="12">
        <f>G46+ROUNDUP(D46*README!$B$15,0)</f>
        <v>2</v>
      </c>
    </row>
    <row r="47" spans="1:8" x14ac:dyDescent="0.25">
      <c r="A47" s="10" t="s">
        <v>25</v>
      </c>
      <c r="B47" s="10" t="s">
        <v>169</v>
      </c>
      <c r="C47" s="10">
        <v>1</v>
      </c>
      <c r="D47" s="11">
        <v>1.0999999999999999E-2</v>
      </c>
      <c r="E47" s="10"/>
      <c r="F47" s="10"/>
      <c r="G47" s="12">
        <f>ROUNDUP(D47*README!$B$13*(1+README!$B$14),0)</f>
        <v>1</v>
      </c>
      <c r="H47" s="12">
        <f>G47+ROUNDUP(D47*README!$B$15,0)</f>
        <v>2</v>
      </c>
    </row>
    <row r="48" spans="1:8" x14ac:dyDescent="0.25">
      <c r="A48" s="10" t="s">
        <v>25</v>
      </c>
      <c r="B48" s="10" t="s">
        <v>170</v>
      </c>
      <c r="C48" s="10">
        <v>3</v>
      </c>
      <c r="D48" s="11">
        <v>3.3000000000000002E-2</v>
      </c>
      <c r="E48" s="10"/>
      <c r="F48" s="10"/>
      <c r="G48" s="12">
        <f>ROUNDUP(D48*README!$B$13*(1+README!$B$14),0)</f>
        <v>1</v>
      </c>
      <c r="H48" s="12">
        <f>G48+ROUNDUP(D48*README!$B$15,0)</f>
        <v>2</v>
      </c>
    </row>
    <row r="49" spans="1:8" x14ac:dyDescent="0.25">
      <c r="A49" s="10" t="s">
        <v>25</v>
      </c>
      <c r="B49" s="10" t="s">
        <v>171</v>
      </c>
      <c r="C49" s="10">
        <v>5</v>
      </c>
      <c r="D49" s="11">
        <v>5.6000000000000001E-2</v>
      </c>
      <c r="E49" s="10"/>
      <c r="F49" s="10"/>
      <c r="G49" s="12">
        <f>ROUNDUP(D49*README!$B$13*(1+README!$B$14),0)</f>
        <v>1</v>
      </c>
      <c r="H49" s="12">
        <f>G49+ROUNDUP(D49*README!$B$15,0)</f>
        <v>2</v>
      </c>
    </row>
    <row r="50" spans="1:8" x14ac:dyDescent="0.25">
      <c r="A50" s="10" t="s">
        <v>30</v>
      </c>
      <c r="B50" s="10" t="s">
        <v>193</v>
      </c>
      <c r="C50" s="10">
        <v>6</v>
      </c>
      <c r="D50" s="11">
        <v>6.7000000000000004E-2</v>
      </c>
      <c r="E50" s="10"/>
      <c r="F50" s="10"/>
      <c r="G50" s="12">
        <f>ROUNDUP(D50*README!$B$13*(1+README!$B$14),0)</f>
        <v>1</v>
      </c>
      <c r="H50" s="12">
        <f>G50+ROUNDUP(D50*README!$B$15,0)</f>
        <v>2</v>
      </c>
    </row>
    <row r="51" spans="1:8" x14ac:dyDescent="0.25">
      <c r="A51" s="10" t="s">
        <v>25</v>
      </c>
      <c r="B51" s="10" t="s">
        <v>177</v>
      </c>
      <c r="C51" s="10">
        <v>2</v>
      </c>
      <c r="D51" s="11">
        <v>2.1999999999999999E-2</v>
      </c>
      <c r="E51" s="10"/>
      <c r="F51" s="10"/>
      <c r="G51" s="12">
        <f>ROUNDUP(D51*README!$B$13*(1+README!$B$14),0)</f>
        <v>1</v>
      </c>
      <c r="H51" s="12">
        <f>G51+ROUNDUP(D51*README!$B$15,0)</f>
        <v>2</v>
      </c>
    </row>
    <row r="52" spans="1:8" x14ac:dyDescent="0.25">
      <c r="A52" s="10" t="s">
        <v>185</v>
      </c>
      <c r="B52" s="10" t="s">
        <v>186</v>
      </c>
      <c r="C52" s="10">
        <v>3</v>
      </c>
      <c r="D52" s="11">
        <v>3.3000000000000002E-2</v>
      </c>
      <c r="E52" s="10"/>
      <c r="F52" s="10"/>
      <c r="G52" s="12">
        <f>ROUNDUP(D52*README!$B$13*(1+README!$B$14),0)</f>
        <v>1</v>
      </c>
      <c r="H52" s="12">
        <f>G52+ROUNDUP(D52*README!$B$15,0)</f>
        <v>2</v>
      </c>
    </row>
    <row r="53" spans="1:8" x14ac:dyDescent="0.25">
      <c r="A53" s="10" t="s">
        <v>34</v>
      </c>
      <c r="B53" s="10" t="s">
        <v>35</v>
      </c>
      <c r="C53" s="10">
        <v>0</v>
      </c>
      <c r="D53" s="11">
        <v>0</v>
      </c>
      <c r="E53" s="10"/>
      <c r="F53" s="10"/>
      <c r="G53" s="12">
        <f>ROUNDUP(D53*README!$B$13*(1+README!$B$14),0)</f>
        <v>0</v>
      </c>
      <c r="H53" s="12">
        <f>G53+ROUNDUP(D53*README!$B$15,0)</f>
        <v>0</v>
      </c>
    </row>
    <row r="54" spans="1:8" x14ac:dyDescent="0.25">
      <c r="A54" s="10" t="s">
        <v>25</v>
      </c>
      <c r="B54" s="10" t="s">
        <v>36</v>
      </c>
      <c r="C54" s="10">
        <v>0</v>
      </c>
      <c r="D54" s="11">
        <v>0</v>
      </c>
      <c r="E54" s="10"/>
      <c r="F54" s="10"/>
      <c r="G54" s="12">
        <f>ROUNDUP(D54*README!$B$13*(1+README!$B$14),0)</f>
        <v>0</v>
      </c>
      <c r="H54" s="12">
        <f>G54+ROUNDUP(D54*README!$B$15,0)</f>
        <v>0</v>
      </c>
    </row>
    <row r="55" spans="1:8" x14ac:dyDescent="0.25">
      <c r="A55" s="10" t="s">
        <v>38</v>
      </c>
      <c r="B55" s="10" t="s">
        <v>39</v>
      </c>
      <c r="C55" s="10">
        <v>0</v>
      </c>
      <c r="D55" s="11">
        <v>0</v>
      </c>
      <c r="E55" s="10"/>
      <c r="F55" s="10"/>
      <c r="G55" s="12">
        <f>ROUNDUP(D55*README!$B$13*(1+README!$B$14),0)</f>
        <v>0</v>
      </c>
      <c r="H55" s="12">
        <f>G55+ROUNDUP(D55*README!$B$15,0)</f>
        <v>0</v>
      </c>
    </row>
    <row r="56" spans="1:8" x14ac:dyDescent="0.25">
      <c r="A56" s="10" t="s">
        <v>108</v>
      </c>
      <c r="B56" s="10" t="s">
        <v>109</v>
      </c>
      <c r="C56" s="10">
        <v>0</v>
      </c>
      <c r="D56" s="11">
        <v>0</v>
      </c>
      <c r="E56" s="10"/>
      <c r="F56" s="10"/>
      <c r="G56" s="12">
        <f>ROUNDUP(D56*README!$B$13*(1+README!$B$14),0)</f>
        <v>0</v>
      </c>
      <c r="H56" s="12">
        <f>G56+ROUNDUP(D56*README!$B$15,0)</f>
        <v>0</v>
      </c>
    </row>
    <row r="57" spans="1:8" x14ac:dyDescent="0.25">
      <c r="A57" s="10" t="s">
        <v>42</v>
      </c>
      <c r="B57" s="10" t="s">
        <v>43</v>
      </c>
      <c r="C57" s="10">
        <v>0</v>
      </c>
      <c r="D57" s="11">
        <v>0</v>
      </c>
      <c r="E57" s="10"/>
      <c r="F57" s="10"/>
      <c r="G57" s="12">
        <f>ROUNDUP(D57*README!$B$13*(1+README!$B$14),0)</f>
        <v>0</v>
      </c>
      <c r="H57" s="12">
        <f>G57+ROUNDUP(D57*README!$B$15,0)</f>
        <v>0</v>
      </c>
    </row>
    <row r="58" spans="1:8" x14ac:dyDescent="0.25">
      <c r="A58" s="10" t="s">
        <v>111</v>
      </c>
      <c r="B58" s="10" t="s">
        <v>112</v>
      </c>
      <c r="C58" s="10">
        <v>0</v>
      </c>
      <c r="D58" s="11">
        <v>0</v>
      </c>
      <c r="E58" s="10"/>
      <c r="F58" s="10"/>
      <c r="G58" s="12">
        <f>ROUNDUP(D58*README!$B$13*(1+README!$B$14),0)</f>
        <v>0</v>
      </c>
      <c r="H58" s="12">
        <f>G58+ROUNDUP(D58*README!$B$15,0)</f>
        <v>0</v>
      </c>
    </row>
    <row r="59" spans="1:8" x14ac:dyDescent="0.25">
      <c r="A59" s="10" t="s">
        <v>187</v>
      </c>
      <c r="B59" s="10" t="s">
        <v>188</v>
      </c>
      <c r="C59" s="10">
        <v>0</v>
      </c>
      <c r="D59" s="11">
        <v>0</v>
      </c>
      <c r="E59" s="10"/>
      <c r="F59" s="10"/>
      <c r="G59" s="12">
        <f>ROUNDUP(D59*README!$B$13*(1+README!$B$14),0)</f>
        <v>0</v>
      </c>
      <c r="H59" s="12">
        <f>G59+ROUNDUP(D59*README!$B$15,0)</f>
        <v>0</v>
      </c>
    </row>
    <row r="60" spans="1:8" x14ac:dyDescent="0.25">
      <c r="A60" s="10" t="s">
        <v>45</v>
      </c>
      <c r="B60" s="10" t="s">
        <v>46</v>
      </c>
      <c r="C60" s="10">
        <v>0</v>
      </c>
      <c r="D60" s="11">
        <v>0</v>
      </c>
      <c r="E60" s="10"/>
      <c r="F60" s="10"/>
      <c r="G60" s="12">
        <f>ROUNDUP(D60*README!$B$13*(1+README!$B$14),0)</f>
        <v>0</v>
      </c>
      <c r="H60" s="12">
        <f>G60+ROUNDUP(D60*README!$B$15,0)</f>
        <v>0</v>
      </c>
    </row>
    <row r="61" spans="1:8" x14ac:dyDescent="0.25">
      <c r="A61" s="10" t="s">
        <v>57</v>
      </c>
      <c r="B61" s="10" t="s">
        <v>58</v>
      </c>
      <c r="C61" s="10">
        <v>0</v>
      </c>
      <c r="D61" s="11">
        <v>0</v>
      </c>
      <c r="E61" s="10"/>
      <c r="F61" s="10"/>
      <c r="G61" s="12">
        <f>ROUNDUP(D61*README!$B$13*(1+README!$B$14),0)</f>
        <v>0</v>
      </c>
      <c r="H61" s="12">
        <f>G61+ROUNDUP(D61*README!$B$15,0)</f>
        <v>0</v>
      </c>
    </row>
    <row r="62" spans="1:8" x14ac:dyDescent="0.25">
      <c r="A62" s="10" t="s">
        <v>47</v>
      </c>
      <c r="B62" s="10" t="s">
        <v>48</v>
      </c>
      <c r="C62" s="10">
        <v>0</v>
      </c>
      <c r="D62" s="11">
        <v>0</v>
      </c>
      <c r="E62" s="10"/>
      <c r="F62" s="10"/>
      <c r="G62" s="12">
        <f>ROUNDUP(D62*README!$B$13*(1+README!$B$14),0)</f>
        <v>0</v>
      </c>
      <c r="H62" s="12">
        <f>G62+ROUNDUP(D62*README!$B$15,0)</f>
        <v>0</v>
      </c>
    </row>
    <row r="63" spans="1:8" x14ac:dyDescent="0.25">
      <c r="A63" s="10" t="s">
        <v>66</v>
      </c>
      <c r="B63" s="10" t="s">
        <v>67</v>
      </c>
      <c r="C63" s="10">
        <v>0</v>
      </c>
      <c r="D63" s="11">
        <v>0</v>
      </c>
      <c r="E63" s="10"/>
      <c r="F63" s="10"/>
      <c r="G63" s="12">
        <f>ROUNDUP(D63*README!$B$13*(1+README!$B$14),0)</f>
        <v>0</v>
      </c>
      <c r="H63" s="12">
        <f>G63+ROUNDUP(D63*README!$B$15,0)</f>
        <v>0</v>
      </c>
    </row>
    <row r="64" spans="1:8" x14ac:dyDescent="0.25">
      <c r="A64" s="10" t="s">
        <v>68</v>
      </c>
      <c r="B64" s="10" t="s">
        <v>69</v>
      </c>
      <c r="C64" s="10">
        <v>0</v>
      </c>
      <c r="D64" s="11">
        <v>0</v>
      </c>
      <c r="E64" s="10"/>
      <c r="F64" s="10"/>
      <c r="G64" s="12">
        <f>ROUNDUP(D64*README!$B$13*(1+README!$B$14),0)</f>
        <v>0</v>
      </c>
      <c r="H64" s="12">
        <f>G64+ROUNDUP(D64*README!$B$15,0)</f>
        <v>0</v>
      </c>
    </row>
    <row r="65" spans="1:8" x14ac:dyDescent="0.25">
      <c r="A65" s="10" t="s">
        <v>70</v>
      </c>
      <c r="B65" s="10" t="s">
        <v>71</v>
      </c>
      <c r="C65" s="10">
        <v>0</v>
      </c>
      <c r="D65" s="11">
        <v>0</v>
      </c>
      <c r="E65" s="10"/>
      <c r="F65" s="10"/>
      <c r="G65" s="12">
        <f>ROUNDUP(D65*README!$B$13*(1+README!$B$14),0)</f>
        <v>0</v>
      </c>
      <c r="H65" s="12">
        <f>G65+ROUNDUP(D65*README!$B$15,0)</f>
        <v>0</v>
      </c>
    </row>
    <row r="66" spans="1:8" x14ac:dyDescent="0.25">
      <c r="A66" s="10" t="s">
        <v>117</v>
      </c>
      <c r="B66" s="10" t="s">
        <v>118</v>
      </c>
      <c r="C66" s="10">
        <v>0</v>
      </c>
      <c r="D66" s="11">
        <v>0</v>
      </c>
      <c r="E66" s="10"/>
      <c r="F66" s="10"/>
      <c r="G66" s="12">
        <f>ROUNDUP(D66*README!$B$13*(1+README!$B$14),0)</f>
        <v>0</v>
      </c>
      <c r="H66" s="12">
        <f>G66+ROUNDUP(D66*README!$B$15,0)</f>
        <v>0</v>
      </c>
    </row>
    <row r="67" spans="1:8" x14ac:dyDescent="0.25">
      <c r="A67" s="10" t="s">
        <v>25</v>
      </c>
      <c r="B67" s="10" t="s">
        <v>37</v>
      </c>
      <c r="C67" s="10">
        <v>0</v>
      </c>
      <c r="D67" s="11">
        <v>0</v>
      </c>
      <c r="E67" s="10"/>
      <c r="F67" s="10"/>
      <c r="G67" s="12">
        <f>ROUNDUP(D67*README!$B$13*(1+README!$B$14),0)</f>
        <v>0</v>
      </c>
      <c r="H67" s="12">
        <f>G67+ROUNDUP(D67*README!$B$15,0)</f>
        <v>0</v>
      </c>
    </row>
    <row r="68" spans="1:8" x14ac:dyDescent="0.25">
      <c r="A68" s="10" t="s">
        <v>119</v>
      </c>
      <c r="B68" s="10" t="s">
        <v>120</v>
      </c>
      <c r="C68" s="10">
        <v>0</v>
      </c>
      <c r="D68" s="11">
        <v>0</v>
      </c>
      <c r="E68" s="10"/>
      <c r="F68" s="10"/>
      <c r="G68" s="12">
        <f>ROUNDUP(D68*README!$B$13*(1+README!$B$14),0)</f>
        <v>0</v>
      </c>
      <c r="H68" s="12">
        <f>G68+ROUNDUP(D68*README!$B$15,0)</f>
        <v>0</v>
      </c>
    </row>
    <row r="69" spans="1:8" x14ac:dyDescent="0.25">
      <c r="A69" s="10" t="s">
        <v>75</v>
      </c>
      <c r="B69" s="10" t="s">
        <v>76</v>
      </c>
      <c r="C69" s="10">
        <v>0</v>
      </c>
      <c r="D69" s="11">
        <v>0</v>
      </c>
      <c r="E69" s="10"/>
      <c r="F69" s="10"/>
      <c r="G69" s="12">
        <f>ROUNDUP(D69*README!$B$13*(1+README!$B$14),0)</f>
        <v>0</v>
      </c>
      <c r="H69" s="12">
        <f>G69+ROUNDUP(D69*README!$B$15,0)</f>
        <v>0</v>
      </c>
    </row>
    <row r="70" spans="1:8" x14ac:dyDescent="0.25">
      <c r="A70" s="10" t="s">
        <v>77</v>
      </c>
      <c r="B70" s="10" t="s">
        <v>78</v>
      </c>
      <c r="C70" s="10">
        <v>0</v>
      </c>
      <c r="D70" s="11">
        <v>0</v>
      </c>
      <c r="E70" s="10"/>
      <c r="F70" s="10"/>
      <c r="G70" s="12">
        <f>ROUNDUP(D70*README!$B$13*(1+README!$B$14),0)</f>
        <v>0</v>
      </c>
      <c r="H70" s="12">
        <f>G70+ROUNDUP(D70*README!$B$15,0)</f>
        <v>0</v>
      </c>
    </row>
    <row r="71" spans="1:8" x14ac:dyDescent="0.25">
      <c r="A71" s="10" t="s">
        <v>80</v>
      </c>
      <c r="B71" s="10" t="s">
        <v>81</v>
      </c>
      <c r="C71" s="10">
        <v>0</v>
      </c>
      <c r="D71" s="11">
        <v>0</v>
      </c>
      <c r="E71" s="10"/>
      <c r="F71" s="10"/>
      <c r="G71" s="12">
        <f>ROUNDUP(D71*README!$B$13*(1+README!$B$14),0)</f>
        <v>0</v>
      </c>
      <c r="H71" s="12">
        <f>G71+ROUNDUP(D71*README!$B$15,0)</f>
        <v>0</v>
      </c>
    </row>
    <row r="72" spans="1:8" x14ac:dyDescent="0.25">
      <c r="A72" s="10" t="s">
        <v>25</v>
      </c>
      <c r="B72" s="10" t="s">
        <v>189</v>
      </c>
      <c r="C72" s="10">
        <v>0</v>
      </c>
      <c r="D72" s="11">
        <v>0</v>
      </c>
      <c r="E72" s="10"/>
      <c r="F72" s="10"/>
      <c r="G72" s="12">
        <f>ROUNDUP(D72*README!$B$13*(1+README!$B$14),0)</f>
        <v>0</v>
      </c>
      <c r="H72" s="12">
        <f>G72+ROUNDUP(D72*README!$B$15,0)</f>
        <v>0</v>
      </c>
    </row>
    <row r="73" spans="1:8" x14ac:dyDescent="0.25">
      <c r="A73" s="10" t="s">
        <v>129</v>
      </c>
      <c r="B73" s="10" t="s">
        <v>130</v>
      </c>
      <c r="C73" s="10">
        <v>0</v>
      </c>
      <c r="D73" s="11">
        <v>0</v>
      </c>
      <c r="E73" s="10"/>
      <c r="F73" s="10"/>
      <c r="G73" s="12">
        <f>ROUNDUP(D73*README!$B$13*(1+README!$B$14),0)</f>
        <v>0</v>
      </c>
      <c r="H73" s="12">
        <f>G73+ROUNDUP(D73*README!$B$15,0)</f>
        <v>0</v>
      </c>
    </row>
    <row r="74" spans="1:8" x14ac:dyDescent="0.25">
      <c r="A74" s="10" t="s">
        <v>84</v>
      </c>
      <c r="B74" s="10" t="s">
        <v>85</v>
      </c>
      <c r="C74" s="10">
        <v>0</v>
      </c>
      <c r="D74" s="11">
        <v>0</v>
      </c>
      <c r="E74" s="10"/>
      <c r="F74" s="10"/>
      <c r="G74" s="12">
        <f>ROUNDUP(D74*README!$B$13*(1+README!$B$14),0)</f>
        <v>0</v>
      </c>
      <c r="H74" s="12">
        <f>G74+ROUNDUP(D74*README!$B$15,0)</f>
        <v>0</v>
      </c>
    </row>
    <row r="75" spans="1:8" x14ac:dyDescent="0.25">
      <c r="A75" s="10" t="s">
        <v>131</v>
      </c>
      <c r="B75" s="10" t="s">
        <v>132</v>
      </c>
      <c r="C75" s="10">
        <v>0</v>
      </c>
      <c r="D75" s="11">
        <v>0</v>
      </c>
      <c r="E75" s="10"/>
      <c r="F75" s="10"/>
      <c r="G75" s="12">
        <f>ROUNDUP(D75*README!$B$13*(1+README!$B$14),0)</f>
        <v>0</v>
      </c>
      <c r="H75" s="12">
        <f>G75+ROUNDUP(D75*README!$B$15,0)</f>
        <v>0</v>
      </c>
    </row>
    <row r="76" spans="1:8" x14ac:dyDescent="0.25">
      <c r="A76" s="10" t="s">
        <v>89</v>
      </c>
      <c r="B76" s="10" t="s">
        <v>90</v>
      </c>
      <c r="C76" s="10">
        <v>0</v>
      </c>
      <c r="D76" s="11">
        <v>0</v>
      </c>
      <c r="E76" s="10"/>
      <c r="F76" s="10"/>
      <c r="G76" s="12">
        <f>ROUNDUP(D76*README!$B$13*(1+README!$B$14),0)</f>
        <v>0</v>
      </c>
      <c r="H76" s="12">
        <f>G76+ROUNDUP(D76*README!$B$15,0)</f>
        <v>0</v>
      </c>
    </row>
    <row r="77" spans="1:8" x14ac:dyDescent="0.25">
      <c r="A77" s="10" t="s">
        <v>51</v>
      </c>
      <c r="B77" s="10" t="s">
        <v>52</v>
      </c>
      <c r="C77" s="10">
        <v>0</v>
      </c>
      <c r="D77" s="11">
        <v>0</v>
      </c>
      <c r="E77" s="10"/>
      <c r="F77" s="10"/>
      <c r="G77" s="12">
        <f>ROUNDUP(D77*README!$B$13*(1+README!$B$14),0)</f>
        <v>0</v>
      </c>
      <c r="H77" s="12">
        <f>G77+ROUNDUP(D77*README!$B$15,0)</f>
        <v>0</v>
      </c>
    </row>
    <row r="78" spans="1:8" x14ac:dyDescent="0.25">
      <c r="A78" s="10" t="s">
        <v>25</v>
      </c>
      <c r="B78" s="10" t="s">
        <v>133</v>
      </c>
      <c r="C78" s="10">
        <v>0</v>
      </c>
      <c r="D78" s="11">
        <v>0</v>
      </c>
      <c r="E78" s="10"/>
      <c r="F78" s="10"/>
      <c r="G78" s="12">
        <f>ROUNDUP(D78*README!$B$13*(1+README!$B$14),0)</f>
        <v>0</v>
      </c>
      <c r="H78" s="12">
        <f>G78+ROUNDUP(D78*README!$B$15,0)</f>
        <v>0</v>
      </c>
    </row>
    <row r="79" spans="1:8" x14ac:dyDescent="0.25">
      <c r="A79" s="10" t="s">
        <v>136</v>
      </c>
      <c r="B79" s="10" t="s">
        <v>137</v>
      </c>
      <c r="C79" s="10">
        <v>0</v>
      </c>
      <c r="D79" s="11">
        <v>0</v>
      </c>
      <c r="E79" s="10"/>
      <c r="F79" s="10"/>
      <c r="G79" s="12">
        <f>ROUNDUP(D79*README!$B$13*(1+README!$B$14),0)</f>
        <v>0</v>
      </c>
      <c r="H79" s="12">
        <f>G79+ROUNDUP(D79*README!$B$15,0)</f>
        <v>0</v>
      </c>
    </row>
    <row r="80" spans="1:8" x14ac:dyDescent="0.25">
      <c r="A80" s="10" t="s">
        <v>53</v>
      </c>
      <c r="B80" s="10" t="s">
        <v>54</v>
      </c>
      <c r="C80" s="10">
        <v>0</v>
      </c>
      <c r="D80" s="11">
        <v>0</v>
      </c>
      <c r="E80" s="10"/>
      <c r="F80" s="10"/>
      <c r="G80" s="12">
        <f>ROUNDUP(D80*README!$B$13*(1+README!$B$14),0)</f>
        <v>0</v>
      </c>
      <c r="H80" s="12">
        <f>G80+ROUNDUP(D80*README!$B$15,0)</f>
        <v>0</v>
      </c>
    </row>
    <row r="81" spans="1:8" x14ac:dyDescent="0.25">
      <c r="A81" s="10" t="s">
        <v>91</v>
      </c>
      <c r="B81" s="10" t="s">
        <v>92</v>
      </c>
      <c r="C81" s="10">
        <v>0</v>
      </c>
      <c r="D81" s="11">
        <v>0</v>
      </c>
      <c r="E81" s="10"/>
      <c r="F81" s="10"/>
      <c r="G81" s="12">
        <f>ROUNDUP(D81*README!$B$13*(1+README!$B$14),0)</f>
        <v>0</v>
      </c>
      <c r="H81" s="12">
        <f>G81+ROUNDUP(D81*README!$B$15,0)</f>
        <v>0</v>
      </c>
    </row>
    <row r="82" spans="1:8" x14ac:dyDescent="0.25">
      <c r="A82" s="10" t="s">
        <v>93</v>
      </c>
      <c r="B82" s="10" t="s">
        <v>94</v>
      </c>
      <c r="C82" s="10">
        <v>0</v>
      </c>
      <c r="D82" s="11">
        <v>0</v>
      </c>
      <c r="E82" s="10"/>
      <c r="F82" s="10"/>
      <c r="G82" s="12">
        <f>ROUNDUP(D82*README!$B$13*(1+README!$B$14),0)</f>
        <v>0</v>
      </c>
      <c r="H82" s="12">
        <f>G82+ROUNDUP(D82*README!$B$15,0)</f>
        <v>0</v>
      </c>
    </row>
    <row r="83" spans="1:8" x14ac:dyDescent="0.25">
      <c r="A83" s="10" t="s">
        <v>97</v>
      </c>
      <c r="B83" s="10" t="s">
        <v>98</v>
      </c>
      <c r="C83" s="10">
        <v>0</v>
      </c>
      <c r="D83" s="11">
        <v>0</v>
      </c>
      <c r="E83" s="10"/>
      <c r="F83" s="10"/>
      <c r="G83" s="12">
        <f>ROUNDUP(D83*README!$B$13*(1+README!$B$14),0)</f>
        <v>0</v>
      </c>
      <c r="H83" s="12">
        <f>G83+ROUNDUP(D83*README!$B$15,0)</f>
        <v>0</v>
      </c>
    </row>
    <row r="84" spans="1:8" x14ac:dyDescent="0.25">
      <c r="A84" s="10" t="s">
        <v>25</v>
      </c>
      <c r="B84" s="10" t="s">
        <v>143</v>
      </c>
      <c r="C84" s="10">
        <v>0</v>
      </c>
      <c r="D84" s="11">
        <v>0</v>
      </c>
      <c r="E84" s="10"/>
      <c r="F84" s="10"/>
      <c r="G84" s="12">
        <f>ROUNDUP(D84*README!$B$13*(1+README!$B$14),0)</f>
        <v>0</v>
      </c>
      <c r="H84" s="12">
        <f>G84+ROUNDUP(D84*README!$B$15,0)</f>
        <v>0</v>
      </c>
    </row>
    <row r="85" spans="1:8" x14ac:dyDescent="0.25">
      <c r="A85" s="10" t="s">
        <v>99</v>
      </c>
      <c r="B85" s="10" t="s">
        <v>100</v>
      </c>
      <c r="C85" s="10">
        <v>0</v>
      </c>
      <c r="D85" s="11">
        <v>0</v>
      </c>
      <c r="E85" s="10"/>
      <c r="F85" s="10"/>
      <c r="G85" s="12">
        <f>ROUNDUP(D85*README!$B$13*(1+README!$B$14),0)</f>
        <v>0</v>
      </c>
      <c r="H85" s="12">
        <f>G85+ROUNDUP(D85*README!$B$15,0)</f>
        <v>0</v>
      </c>
    </row>
    <row r="86" spans="1:8" x14ac:dyDescent="0.25">
      <c r="A86" s="10" t="s">
        <v>101</v>
      </c>
      <c r="B86" s="10" t="s">
        <v>102</v>
      </c>
      <c r="C86" s="10">
        <v>0</v>
      </c>
      <c r="D86" s="11">
        <v>0</v>
      </c>
      <c r="E86" s="10"/>
      <c r="F86" s="10"/>
      <c r="G86" s="12">
        <f>ROUNDUP(D86*README!$B$13*(1+README!$B$14),0)</f>
        <v>0</v>
      </c>
      <c r="H86" s="12">
        <f>G86+ROUNDUP(D86*README!$B$15,0)</f>
        <v>0</v>
      </c>
    </row>
    <row r="87" spans="1:8" x14ac:dyDescent="0.25">
      <c r="A87" s="10" t="s">
        <v>25</v>
      </c>
      <c r="B87" s="10" t="s">
        <v>146</v>
      </c>
      <c r="C87" s="10">
        <v>0</v>
      </c>
      <c r="D87" s="11">
        <v>0</v>
      </c>
      <c r="E87" s="10"/>
      <c r="F87" s="10"/>
      <c r="G87" s="12">
        <f>ROUNDUP(D87*README!$B$13*(1+README!$B$14),0)</f>
        <v>0</v>
      </c>
      <c r="H87" s="12">
        <f>G87+ROUNDUP(D87*README!$B$15,0)</f>
        <v>0</v>
      </c>
    </row>
    <row r="88" spans="1:8" x14ac:dyDescent="0.25">
      <c r="A88" s="10" t="s">
        <v>105</v>
      </c>
      <c r="B88" s="10" t="s">
        <v>106</v>
      </c>
      <c r="C88" s="10">
        <v>0</v>
      </c>
      <c r="D88" s="11">
        <v>0</v>
      </c>
      <c r="E88" s="10"/>
      <c r="F88" s="10"/>
      <c r="G88" s="12">
        <f>ROUNDUP(D88*README!$B$13*(1+README!$B$14),0)</f>
        <v>0</v>
      </c>
      <c r="H88" s="12">
        <f>G88+ROUNDUP(D88*README!$B$15,0)</f>
        <v>0</v>
      </c>
    </row>
    <row r="89" spans="1:8" x14ac:dyDescent="0.25">
      <c r="A89" s="10" t="s">
        <v>155</v>
      </c>
      <c r="B89" s="10" t="s">
        <v>156</v>
      </c>
      <c r="C89" s="10">
        <v>0</v>
      </c>
      <c r="D89" s="11">
        <v>0</v>
      </c>
      <c r="E89" s="10"/>
      <c r="F89" s="10"/>
      <c r="G89" s="12">
        <f>ROUNDUP(D89*README!$B$13*(1+README!$B$14),0)</f>
        <v>0</v>
      </c>
      <c r="H89" s="12">
        <f>G89+ROUNDUP(D89*README!$B$15,0)</f>
        <v>0</v>
      </c>
    </row>
    <row r="90" spans="1:8" x14ac:dyDescent="0.25">
      <c r="A90" s="10" t="s">
        <v>159</v>
      </c>
      <c r="B90" s="10" t="s">
        <v>160</v>
      </c>
      <c r="C90" s="10">
        <v>0</v>
      </c>
      <c r="D90" s="11">
        <v>0</v>
      </c>
      <c r="E90" s="10"/>
      <c r="F90" s="10"/>
      <c r="G90" s="12">
        <f>ROUNDUP(D90*README!$B$13*(1+README!$B$14),0)</f>
        <v>0</v>
      </c>
      <c r="H90" s="12">
        <f>G90+ROUNDUP(D90*README!$B$15,0)</f>
        <v>0</v>
      </c>
    </row>
    <row r="91" spans="1:8" x14ac:dyDescent="0.25">
      <c r="A91" s="10" t="s">
        <v>163</v>
      </c>
      <c r="B91" s="10" t="s">
        <v>164</v>
      </c>
      <c r="C91" s="10">
        <v>0</v>
      </c>
      <c r="D91" s="11">
        <v>0</v>
      </c>
      <c r="E91" s="10"/>
      <c r="F91" s="10"/>
      <c r="G91" s="12">
        <f>ROUNDUP(D91*README!$B$13*(1+README!$B$14),0)</f>
        <v>0</v>
      </c>
      <c r="H91" s="12">
        <f>G91+ROUNDUP(D91*README!$B$15,0)</f>
        <v>0</v>
      </c>
    </row>
    <row r="92" spans="1:8" x14ac:dyDescent="0.25">
      <c r="A92" s="10" t="s">
        <v>25</v>
      </c>
      <c r="B92" s="10" t="s">
        <v>107</v>
      </c>
      <c r="C92" s="10">
        <v>0</v>
      </c>
      <c r="D92" s="11">
        <v>0</v>
      </c>
      <c r="E92" s="10"/>
      <c r="F92" s="10"/>
      <c r="G92" s="12">
        <f>ROUNDUP(D92*README!$B$13*(1+README!$B$14),0)</f>
        <v>0</v>
      </c>
      <c r="H92" s="12">
        <f>G92+ROUNDUP(D92*README!$B$15,0)</f>
        <v>0</v>
      </c>
    </row>
    <row r="93" spans="1:8" x14ac:dyDescent="0.25">
      <c r="A93" s="10" t="s">
        <v>25</v>
      </c>
      <c r="B93" s="10" t="s">
        <v>168</v>
      </c>
      <c r="C93" s="10">
        <v>0</v>
      </c>
      <c r="D93" s="11">
        <v>0</v>
      </c>
      <c r="E93" s="10"/>
      <c r="F93" s="10"/>
      <c r="G93" s="12">
        <f>ROUNDUP(D93*README!$B$13*(1+README!$B$14),0)</f>
        <v>0</v>
      </c>
      <c r="H93" s="12">
        <f>G93+ROUNDUP(D93*README!$B$15,0)</f>
        <v>0</v>
      </c>
    </row>
    <row r="94" spans="1:8" x14ac:dyDescent="0.25">
      <c r="A94" s="10" t="s">
        <v>172</v>
      </c>
      <c r="B94" s="10" t="s">
        <v>173</v>
      </c>
      <c r="C94" s="10">
        <v>0</v>
      </c>
      <c r="D94" s="11">
        <v>0</v>
      </c>
      <c r="E94" s="10"/>
      <c r="F94" s="10"/>
      <c r="G94" s="12">
        <f>ROUNDUP(D94*README!$B$13*(1+README!$B$14),0)</f>
        <v>0</v>
      </c>
      <c r="H94" s="12">
        <f>G94+ROUNDUP(D94*README!$B$15,0)</f>
        <v>0</v>
      </c>
    </row>
    <row r="95" spans="1:8" x14ac:dyDescent="0.25">
      <c r="A95" s="10" t="s">
        <v>61</v>
      </c>
      <c r="B95" s="10" t="s">
        <v>174</v>
      </c>
      <c r="C95" s="10">
        <v>0</v>
      </c>
      <c r="D95" s="11">
        <v>0</v>
      </c>
      <c r="E95" s="10"/>
      <c r="F95" s="10"/>
      <c r="G95" s="12">
        <f>ROUNDUP(D95*README!$B$13*(1+README!$B$14),0)</f>
        <v>0</v>
      </c>
      <c r="H95" s="12">
        <f>G95+ROUNDUP(D95*README!$B$15,0)</f>
        <v>0</v>
      </c>
    </row>
    <row r="96" spans="1:8" x14ac:dyDescent="0.25">
      <c r="A96" s="10" t="s">
        <v>25</v>
      </c>
      <c r="B96" s="10" t="s">
        <v>194</v>
      </c>
      <c r="C96" s="10">
        <v>0</v>
      </c>
      <c r="D96" s="11">
        <v>0</v>
      </c>
      <c r="E96" s="10"/>
      <c r="F96" s="10"/>
      <c r="G96" s="12">
        <f>ROUNDUP(D96*README!$B$13*(1+README!$B$14),0)</f>
        <v>0</v>
      </c>
      <c r="H96" s="12">
        <f>G96+ROUNDUP(D96*README!$B$15,0)</f>
        <v>0</v>
      </c>
    </row>
    <row r="97" spans="1:8" x14ac:dyDescent="0.25">
      <c r="A97" s="10" t="s">
        <v>175</v>
      </c>
      <c r="B97" s="10" t="s">
        <v>176</v>
      </c>
      <c r="C97" s="10">
        <v>0</v>
      </c>
      <c r="D97" s="11">
        <v>0</v>
      </c>
      <c r="E97" s="10"/>
      <c r="F97" s="10"/>
      <c r="G97" s="12">
        <f>ROUNDUP(D97*README!$B$13*(1+README!$B$14),0)</f>
        <v>0</v>
      </c>
      <c r="H97" s="12">
        <f>G97+ROUNDUP(D97*README!$B$15,0)</f>
        <v>0</v>
      </c>
    </row>
    <row r="98" spans="1:8" x14ac:dyDescent="0.25">
      <c r="A98" s="10" t="s">
        <v>178</v>
      </c>
      <c r="B98" s="10" t="s">
        <v>179</v>
      </c>
      <c r="C98" s="10">
        <v>0</v>
      </c>
      <c r="D98" s="11">
        <v>0</v>
      </c>
      <c r="E98" s="10"/>
      <c r="F98" s="10"/>
      <c r="G98" s="12">
        <f>ROUNDUP(D98*README!$B$13*(1+README!$B$14),0)</f>
        <v>0</v>
      </c>
      <c r="H98" s="12">
        <f>G98+ROUNDUP(D98*README!$B$15,0)</f>
        <v>0</v>
      </c>
    </row>
    <row r="99" spans="1:8" x14ac:dyDescent="0.25">
      <c r="A99" s="10" t="s">
        <v>61</v>
      </c>
      <c r="B99" s="10" t="s">
        <v>180</v>
      </c>
      <c r="C99" s="10">
        <v>0</v>
      </c>
      <c r="D99" s="11">
        <v>0</v>
      </c>
      <c r="E99" s="10"/>
      <c r="F99" s="10"/>
      <c r="G99" s="12">
        <f>ROUNDUP(D99*README!$B$13*(1+README!$B$14),0)</f>
        <v>0</v>
      </c>
      <c r="H99" s="12">
        <f>G99+ROUNDUP(D99*README!$B$15,0)</f>
        <v>0</v>
      </c>
    </row>
    <row r="100" spans="1:8" x14ac:dyDescent="0.25">
      <c r="A100" s="10" t="s">
        <v>181</v>
      </c>
      <c r="B100" s="10" t="s">
        <v>182</v>
      </c>
      <c r="C100" s="10">
        <v>0</v>
      </c>
      <c r="D100" s="11">
        <v>0</v>
      </c>
      <c r="E100" s="10"/>
      <c r="F100" s="10"/>
      <c r="G100" s="12">
        <f>ROUNDUP(D100*README!$B$13*(1+README!$B$14),0)</f>
        <v>0</v>
      </c>
      <c r="H100" s="12">
        <f>G100+ROUNDUP(D100*README!$B$15,0)</f>
        <v>0</v>
      </c>
    </row>
    <row r="101" spans="1:8" x14ac:dyDescent="0.25">
      <c r="A101" s="10" t="s">
        <v>183</v>
      </c>
      <c r="B101" s="10" t="s">
        <v>184</v>
      </c>
      <c r="C101" s="10">
        <v>0</v>
      </c>
      <c r="D101" s="11">
        <v>0</v>
      </c>
      <c r="E101" s="10"/>
      <c r="F101" s="10"/>
      <c r="G101" s="12">
        <f>ROUNDUP(D101*README!$B$13*(1+README!$B$14),0)</f>
        <v>0</v>
      </c>
      <c r="H101" s="12">
        <f>G101+ROUNDUP(D101*README!$B$15,0)</f>
        <v>0</v>
      </c>
    </row>
  </sheetData>
  <autoFilter ref="A1:H10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2" width="45" customWidth="1"/>
    <col min="3" max="3" width="22" customWidth="1"/>
    <col min="4" max="4" width="16" customWidth="1"/>
    <col min="5" max="7" width="18" customWidth="1"/>
    <col min="8" max="8" width="24" customWidth="1"/>
  </cols>
  <sheetData>
    <row r="1" spans="1:8" ht="30" customHeight="1" x14ac:dyDescent="0.25">
      <c r="A1" s="9" t="s">
        <v>17</v>
      </c>
      <c r="B1" s="9" t="s">
        <v>18</v>
      </c>
      <c r="C1" s="9" t="s">
        <v>19</v>
      </c>
      <c r="D1" s="9" t="s">
        <v>20</v>
      </c>
      <c r="E1" s="9" t="s">
        <v>21</v>
      </c>
      <c r="F1" s="9" t="s">
        <v>22</v>
      </c>
      <c r="G1" s="9" t="s">
        <v>23</v>
      </c>
      <c r="H1" s="9" t="s">
        <v>24</v>
      </c>
    </row>
    <row r="2" spans="1:8" x14ac:dyDescent="0.25">
      <c r="A2" s="10" t="s">
        <v>28</v>
      </c>
      <c r="B2" s="10" t="s">
        <v>29</v>
      </c>
      <c r="C2" s="10">
        <v>115</v>
      </c>
      <c r="D2" s="11">
        <v>1.278</v>
      </c>
      <c r="E2" s="10"/>
      <c r="F2" s="10"/>
      <c r="G2" s="12">
        <f>ROUNDUP(D2*README!$B$13*(1+README!$B$14),0)</f>
        <v>12</v>
      </c>
      <c r="H2" s="12">
        <f>G2+ROUNDUP(D2*README!$B$15,0)</f>
        <v>30</v>
      </c>
    </row>
    <row r="3" spans="1:8" x14ac:dyDescent="0.25">
      <c r="A3" s="10" t="s">
        <v>34</v>
      </c>
      <c r="B3" s="10" t="s">
        <v>35</v>
      </c>
      <c r="C3" s="10">
        <v>82</v>
      </c>
      <c r="D3" s="11">
        <v>0.91100000000000003</v>
      </c>
      <c r="E3" s="10"/>
      <c r="F3" s="10"/>
      <c r="G3" s="12">
        <f>ROUNDUP(D3*README!$B$13*(1+README!$B$14),0)</f>
        <v>8</v>
      </c>
      <c r="H3" s="12">
        <f>G3+ROUNDUP(D3*README!$B$15,0)</f>
        <v>21</v>
      </c>
    </row>
    <row r="4" spans="1:8" x14ac:dyDescent="0.25">
      <c r="A4" s="10" t="s">
        <v>25</v>
      </c>
      <c r="B4" s="10" t="s">
        <v>36</v>
      </c>
      <c r="C4" s="10">
        <v>58</v>
      </c>
      <c r="D4" s="11">
        <v>0.64400000000000002</v>
      </c>
      <c r="E4" s="10"/>
      <c r="F4" s="10"/>
      <c r="G4" s="12">
        <f>ROUNDUP(D4*README!$B$13*(1+README!$B$14),0)</f>
        <v>6</v>
      </c>
      <c r="H4" s="12">
        <f>G4+ROUNDUP(D4*README!$B$15,0)</f>
        <v>16</v>
      </c>
    </row>
    <row r="5" spans="1:8" x14ac:dyDescent="0.25">
      <c r="A5" s="10" t="s">
        <v>108</v>
      </c>
      <c r="B5" s="10" t="s">
        <v>109</v>
      </c>
      <c r="C5" s="10">
        <v>52</v>
      </c>
      <c r="D5" s="11">
        <v>0.57799999999999996</v>
      </c>
      <c r="E5" s="10"/>
      <c r="F5" s="10"/>
      <c r="G5" s="12">
        <f>ROUNDUP(D5*README!$B$13*(1+README!$B$14),0)</f>
        <v>6</v>
      </c>
      <c r="H5" s="12">
        <f>G5+ROUNDUP(D5*README!$B$15,0)</f>
        <v>15</v>
      </c>
    </row>
    <row r="6" spans="1:8" x14ac:dyDescent="0.25">
      <c r="A6" s="10" t="s">
        <v>105</v>
      </c>
      <c r="B6" s="10" t="s">
        <v>110</v>
      </c>
      <c r="C6" s="10">
        <v>34</v>
      </c>
      <c r="D6" s="11">
        <v>0.378</v>
      </c>
      <c r="E6" s="10"/>
      <c r="F6" s="10"/>
      <c r="G6" s="12">
        <f>ROUNDUP(D6*README!$B$13*(1+README!$B$14),0)</f>
        <v>4</v>
      </c>
      <c r="H6" s="12">
        <f>G6+ROUNDUP(D6*README!$B$15,0)</f>
        <v>10</v>
      </c>
    </row>
    <row r="7" spans="1:8" x14ac:dyDescent="0.25">
      <c r="A7" s="10" t="s">
        <v>111</v>
      </c>
      <c r="B7" s="10" t="s">
        <v>112</v>
      </c>
      <c r="C7" s="10">
        <v>38</v>
      </c>
      <c r="D7" s="11">
        <v>0.42199999999999999</v>
      </c>
      <c r="E7" s="10"/>
      <c r="F7" s="10"/>
      <c r="G7" s="12">
        <f>ROUNDUP(D7*README!$B$13*(1+README!$B$14),0)</f>
        <v>4</v>
      </c>
      <c r="H7" s="12">
        <f>G7+ROUNDUP(D7*README!$B$15,0)</f>
        <v>10</v>
      </c>
    </row>
    <row r="8" spans="1:8" x14ac:dyDescent="0.25">
      <c r="A8" s="10" t="s">
        <v>187</v>
      </c>
      <c r="B8" s="10" t="s">
        <v>188</v>
      </c>
      <c r="C8" s="10">
        <v>39</v>
      </c>
      <c r="D8" s="11">
        <v>0.433</v>
      </c>
      <c r="E8" s="10"/>
      <c r="F8" s="10"/>
      <c r="G8" s="12">
        <f>ROUNDUP(D8*README!$B$13*(1+README!$B$14),0)</f>
        <v>4</v>
      </c>
      <c r="H8" s="12">
        <f>G8+ROUNDUP(D8*README!$B$15,0)</f>
        <v>11</v>
      </c>
    </row>
    <row r="9" spans="1:8" x14ac:dyDescent="0.25">
      <c r="A9" s="10" t="s">
        <v>30</v>
      </c>
      <c r="B9" s="10" t="s">
        <v>31</v>
      </c>
      <c r="C9" s="10">
        <v>28</v>
      </c>
      <c r="D9" s="11">
        <v>0.311</v>
      </c>
      <c r="E9" s="10"/>
      <c r="F9" s="10"/>
      <c r="G9" s="12">
        <f>ROUNDUP(D9*README!$B$13*(1+README!$B$14),0)</f>
        <v>3</v>
      </c>
      <c r="H9" s="12">
        <f>G9+ROUNDUP(D9*README!$B$15,0)</f>
        <v>8</v>
      </c>
    </row>
    <row r="10" spans="1:8" x14ac:dyDescent="0.25">
      <c r="A10" s="10" t="s">
        <v>40</v>
      </c>
      <c r="B10" s="10" t="s">
        <v>41</v>
      </c>
      <c r="C10" s="10">
        <v>28</v>
      </c>
      <c r="D10" s="11">
        <v>0.311</v>
      </c>
      <c r="E10" s="10"/>
      <c r="F10" s="10"/>
      <c r="G10" s="12">
        <f>ROUNDUP(D10*README!$B$13*(1+README!$B$14),0)</f>
        <v>3</v>
      </c>
      <c r="H10" s="12">
        <f>G10+ROUNDUP(D10*README!$B$15,0)</f>
        <v>8</v>
      </c>
    </row>
    <row r="11" spans="1:8" x14ac:dyDescent="0.25">
      <c r="A11" s="10" t="s">
        <v>42</v>
      </c>
      <c r="B11" s="10" t="s">
        <v>43</v>
      </c>
      <c r="C11" s="10">
        <v>22</v>
      </c>
      <c r="D11" s="11">
        <v>0.24399999999999999</v>
      </c>
      <c r="E11" s="10"/>
      <c r="F11" s="10"/>
      <c r="G11" s="12">
        <f>ROUNDUP(D11*README!$B$13*(1+README!$B$14),0)</f>
        <v>3</v>
      </c>
      <c r="H11" s="12">
        <f>G11+ROUNDUP(D11*README!$B$15,0)</f>
        <v>7</v>
      </c>
    </row>
    <row r="12" spans="1:8" x14ac:dyDescent="0.25">
      <c r="A12" s="10" t="s">
        <v>55</v>
      </c>
      <c r="B12" s="10" t="s">
        <v>56</v>
      </c>
      <c r="C12" s="10">
        <v>29</v>
      </c>
      <c r="D12" s="11">
        <v>0.32200000000000001</v>
      </c>
      <c r="E12" s="10"/>
      <c r="F12" s="10"/>
      <c r="G12" s="12">
        <f>ROUNDUP(D12*README!$B$13*(1+README!$B$14),0)</f>
        <v>3</v>
      </c>
      <c r="H12" s="12">
        <f>G12+ROUNDUP(D12*README!$B$15,0)</f>
        <v>8</v>
      </c>
    </row>
    <row r="13" spans="1:8" x14ac:dyDescent="0.25">
      <c r="A13" s="10" t="s">
        <v>57</v>
      </c>
      <c r="B13" s="10" t="s">
        <v>58</v>
      </c>
      <c r="C13" s="10">
        <v>21</v>
      </c>
      <c r="D13" s="11">
        <v>0.23300000000000001</v>
      </c>
      <c r="E13" s="10"/>
      <c r="F13" s="10"/>
      <c r="G13" s="12">
        <f>ROUNDUP(D13*README!$B$13*(1+README!$B$14),0)</f>
        <v>3</v>
      </c>
      <c r="H13" s="12">
        <f>G13+ROUNDUP(D13*README!$B$15,0)</f>
        <v>7</v>
      </c>
    </row>
    <row r="14" spans="1:8" x14ac:dyDescent="0.25">
      <c r="A14" s="10" t="s">
        <v>66</v>
      </c>
      <c r="B14" s="10" t="s">
        <v>67</v>
      </c>
      <c r="C14" s="10">
        <v>23</v>
      </c>
      <c r="D14" s="11">
        <v>0.25600000000000001</v>
      </c>
      <c r="E14" s="10"/>
      <c r="F14" s="10"/>
      <c r="G14" s="12">
        <f>ROUNDUP(D14*README!$B$13*(1+README!$B$14),0)</f>
        <v>3</v>
      </c>
      <c r="H14" s="12">
        <f>G14+ROUNDUP(D14*README!$B$15,0)</f>
        <v>7</v>
      </c>
    </row>
    <row r="15" spans="1:8" x14ac:dyDescent="0.25">
      <c r="A15" s="10" t="s">
        <v>117</v>
      </c>
      <c r="B15" s="10" t="s">
        <v>118</v>
      </c>
      <c r="C15" s="10">
        <v>24</v>
      </c>
      <c r="D15" s="11">
        <v>0.26700000000000002</v>
      </c>
      <c r="E15" s="10"/>
      <c r="F15" s="10"/>
      <c r="G15" s="12">
        <f>ROUNDUP(D15*README!$B$13*(1+README!$B$14),0)</f>
        <v>3</v>
      </c>
      <c r="H15" s="12">
        <f>G15+ROUNDUP(D15*README!$B$15,0)</f>
        <v>7</v>
      </c>
    </row>
    <row r="16" spans="1:8" x14ac:dyDescent="0.25">
      <c r="A16" s="10" t="s">
        <v>25</v>
      </c>
      <c r="B16" s="10" t="s">
        <v>189</v>
      </c>
      <c r="C16" s="10">
        <v>28</v>
      </c>
      <c r="D16" s="11">
        <v>0.311</v>
      </c>
      <c r="E16" s="10"/>
      <c r="F16" s="10"/>
      <c r="G16" s="12">
        <f>ROUNDUP(D16*README!$B$13*(1+README!$B$14),0)</f>
        <v>3</v>
      </c>
      <c r="H16" s="12">
        <f>G16+ROUNDUP(D16*README!$B$15,0)</f>
        <v>8</v>
      </c>
    </row>
    <row r="17" spans="1:8" x14ac:dyDescent="0.25">
      <c r="A17" s="10" t="s">
        <v>25</v>
      </c>
      <c r="B17" s="10" t="s">
        <v>133</v>
      </c>
      <c r="C17" s="10">
        <v>22</v>
      </c>
      <c r="D17" s="11">
        <v>0.24399999999999999</v>
      </c>
      <c r="E17" s="10"/>
      <c r="F17" s="10"/>
      <c r="G17" s="12">
        <f>ROUNDUP(D17*README!$B$13*(1+README!$B$14),0)</f>
        <v>3</v>
      </c>
      <c r="H17" s="12">
        <f>G17+ROUNDUP(D17*README!$B$15,0)</f>
        <v>7</v>
      </c>
    </row>
    <row r="18" spans="1:8" x14ac:dyDescent="0.25">
      <c r="A18" s="10" t="s">
        <v>32</v>
      </c>
      <c r="B18" s="10" t="s">
        <v>33</v>
      </c>
      <c r="C18" s="10">
        <v>17</v>
      </c>
      <c r="D18" s="11">
        <v>0.189</v>
      </c>
      <c r="E18" s="10"/>
      <c r="F18" s="10"/>
      <c r="G18" s="12">
        <f>ROUNDUP(D18*README!$B$13*(1+README!$B$14),0)</f>
        <v>2</v>
      </c>
      <c r="H18" s="12">
        <f>G18+ROUNDUP(D18*README!$B$15,0)</f>
        <v>5</v>
      </c>
    </row>
    <row r="19" spans="1:8" x14ac:dyDescent="0.25">
      <c r="A19" s="10" t="s">
        <v>38</v>
      </c>
      <c r="B19" s="10" t="s">
        <v>39</v>
      </c>
      <c r="C19" s="10">
        <v>17</v>
      </c>
      <c r="D19" s="11">
        <v>0.189</v>
      </c>
      <c r="E19" s="10"/>
      <c r="F19" s="10"/>
      <c r="G19" s="12">
        <f>ROUNDUP(D19*README!$B$13*(1+README!$B$14),0)</f>
        <v>2</v>
      </c>
      <c r="H19" s="12">
        <f>G19+ROUNDUP(D19*README!$B$15,0)</f>
        <v>5</v>
      </c>
    </row>
    <row r="20" spans="1:8" x14ac:dyDescent="0.25">
      <c r="A20" s="10" t="s">
        <v>45</v>
      </c>
      <c r="B20" s="10" t="s">
        <v>46</v>
      </c>
      <c r="C20" s="10">
        <v>20</v>
      </c>
      <c r="D20" s="11">
        <v>0.222</v>
      </c>
      <c r="E20" s="10"/>
      <c r="F20" s="10"/>
      <c r="G20" s="12">
        <f>ROUNDUP(D20*README!$B$13*(1+README!$B$14),0)</f>
        <v>2</v>
      </c>
      <c r="H20" s="12">
        <f>G20+ROUNDUP(D20*README!$B$15,0)</f>
        <v>6</v>
      </c>
    </row>
    <row r="21" spans="1:8" x14ac:dyDescent="0.25">
      <c r="A21" s="10" t="s">
        <v>59</v>
      </c>
      <c r="B21" s="10" t="s">
        <v>60</v>
      </c>
      <c r="C21" s="10">
        <v>12</v>
      </c>
      <c r="D21" s="11">
        <v>0.13300000000000001</v>
      </c>
      <c r="E21" s="10"/>
      <c r="F21" s="10"/>
      <c r="G21" s="12">
        <f>ROUNDUP(D21*README!$B$13*(1+README!$B$14),0)</f>
        <v>2</v>
      </c>
      <c r="H21" s="12">
        <f>G21+ROUNDUP(D21*README!$B$15,0)</f>
        <v>4</v>
      </c>
    </row>
    <row r="22" spans="1:8" x14ac:dyDescent="0.25">
      <c r="A22" s="10" t="s">
        <v>61</v>
      </c>
      <c r="B22" s="10" t="s">
        <v>62</v>
      </c>
      <c r="C22" s="10">
        <v>20</v>
      </c>
      <c r="D22" s="11">
        <v>0.222</v>
      </c>
      <c r="E22" s="10"/>
      <c r="F22" s="10"/>
      <c r="G22" s="12">
        <f>ROUNDUP(D22*README!$B$13*(1+README!$B$14),0)</f>
        <v>2</v>
      </c>
      <c r="H22" s="12">
        <f>G22+ROUNDUP(D22*README!$B$15,0)</f>
        <v>6</v>
      </c>
    </row>
    <row r="23" spans="1:8" x14ac:dyDescent="0.25">
      <c r="A23" s="10" t="s">
        <v>113</v>
      </c>
      <c r="B23" s="10" t="s">
        <v>114</v>
      </c>
      <c r="C23" s="10">
        <v>16</v>
      </c>
      <c r="D23" s="11">
        <v>0.17799999999999999</v>
      </c>
      <c r="E23" s="10"/>
      <c r="F23" s="10"/>
      <c r="G23" s="12">
        <f>ROUNDUP(D23*README!$B$13*(1+README!$B$14),0)</f>
        <v>2</v>
      </c>
      <c r="H23" s="12">
        <f>G23+ROUNDUP(D23*README!$B$15,0)</f>
        <v>5</v>
      </c>
    </row>
    <row r="24" spans="1:8" x14ac:dyDescent="0.25">
      <c r="A24" s="10" t="s">
        <v>64</v>
      </c>
      <c r="B24" s="10" t="s">
        <v>65</v>
      </c>
      <c r="C24" s="10">
        <v>12</v>
      </c>
      <c r="D24" s="11">
        <v>0.13300000000000001</v>
      </c>
      <c r="E24" s="10"/>
      <c r="F24" s="10"/>
      <c r="G24" s="12">
        <f>ROUNDUP(D24*README!$B$13*(1+README!$B$14),0)</f>
        <v>2</v>
      </c>
      <c r="H24" s="12">
        <f>G24+ROUNDUP(D24*README!$B$15,0)</f>
        <v>4</v>
      </c>
    </row>
    <row r="25" spans="1:8" x14ac:dyDescent="0.25">
      <c r="A25" s="10" t="s">
        <v>115</v>
      </c>
      <c r="B25" s="10" t="s">
        <v>116</v>
      </c>
      <c r="C25" s="10">
        <v>13</v>
      </c>
      <c r="D25" s="11">
        <v>0.14399999999999999</v>
      </c>
      <c r="E25" s="10"/>
      <c r="F25" s="10"/>
      <c r="G25" s="12">
        <f>ROUNDUP(D25*README!$B$13*(1+README!$B$14),0)</f>
        <v>2</v>
      </c>
      <c r="H25" s="12">
        <f>G25+ROUNDUP(D25*README!$B$15,0)</f>
        <v>5</v>
      </c>
    </row>
    <row r="26" spans="1:8" x14ac:dyDescent="0.25">
      <c r="A26" s="10" t="s">
        <v>68</v>
      </c>
      <c r="B26" s="10" t="s">
        <v>69</v>
      </c>
      <c r="C26" s="10">
        <v>11</v>
      </c>
      <c r="D26" s="11">
        <v>0.122</v>
      </c>
      <c r="E26" s="10"/>
      <c r="F26" s="10"/>
      <c r="G26" s="12">
        <f>ROUNDUP(D26*README!$B$13*(1+README!$B$14),0)</f>
        <v>2</v>
      </c>
      <c r="H26" s="12">
        <f>G26+ROUNDUP(D26*README!$B$15,0)</f>
        <v>4</v>
      </c>
    </row>
    <row r="27" spans="1:8" x14ac:dyDescent="0.25">
      <c r="A27" s="10" t="s">
        <v>25</v>
      </c>
      <c r="B27" s="10" t="s">
        <v>72</v>
      </c>
      <c r="C27" s="10">
        <v>18</v>
      </c>
      <c r="D27" s="11">
        <v>0.2</v>
      </c>
      <c r="E27" s="10"/>
      <c r="F27" s="10"/>
      <c r="G27" s="12">
        <f>ROUNDUP(D27*README!$B$13*(1+README!$B$14),0)</f>
        <v>2</v>
      </c>
      <c r="H27" s="12">
        <f>G27+ROUNDUP(D27*README!$B$15,0)</f>
        <v>5</v>
      </c>
    </row>
    <row r="28" spans="1:8" x14ac:dyDescent="0.25">
      <c r="A28" s="10" t="s">
        <v>73</v>
      </c>
      <c r="B28" s="10" t="s">
        <v>74</v>
      </c>
      <c r="C28" s="10">
        <v>11</v>
      </c>
      <c r="D28" s="11">
        <v>0.122</v>
      </c>
      <c r="E28" s="10"/>
      <c r="F28" s="10"/>
      <c r="G28" s="12">
        <f>ROUNDUP(D28*README!$B$13*(1+README!$B$14),0)</f>
        <v>2</v>
      </c>
      <c r="H28" s="12">
        <f>G28+ROUNDUP(D28*README!$B$15,0)</f>
        <v>4</v>
      </c>
    </row>
    <row r="29" spans="1:8" x14ac:dyDescent="0.25">
      <c r="A29" s="10" t="s">
        <v>119</v>
      </c>
      <c r="B29" s="10" t="s">
        <v>120</v>
      </c>
      <c r="C29" s="10">
        <v>16</v>
      </c>
      <c r="D29" s="11">
        <v>0.17799999999999999</v>
      </c>
      <c r="E29" s="10"/>
      <c r="F29" s="10"/>
      <c r="G29" s="12">
        <f>ROUNDUP(D29*README!$B$13*(1+README!$B$14),0)</f>
        <v>2</v>
      </c>
      <c r="H29" s="12">
        <f>G29+ROUNDUP(D29*README!$B$15,0)</f>
        <v>5</v>
      </c>
    </row>
    <row r="30" spans="1:8" x14ac:dyDescent="0.25">
      <c r="A30" s="10" t="s">
        <v>121</v>
      </c>
      <c r="B30" s="10" t="s">
        <v>122</v>
      </c>
      <c r="C30" s="10">
        <v>15</v>
      </c>
      <c r="D30" s="11">
        <v>0.16700000000000001</v>
      </c>
      <c r="E30" s="10"/>
      <c r="F30" s="10"/>
      <c r="G30" s="12">
        <f>ROUNDUP(D30*README!$B$13*(1+README!$B$14),0)</f>
        <v>2</v>
      </c>
      <c r="H30" s="12">
        <f>G30+ROUNDUP(D30*README!$B$15,0)</f>
        <v>5</v>
      </c>
    </row>
    <row r="31" spans="1:8" x14ac:dyDescent="0.25">
      <c r="A31" s="10" t="s">
        <v>75</v>
      </c>
      <c r="B31" s="10" t="s">
        <v>76</v>
      </c>
      <c r="C31" s="10">
        <v>16</v>
      </c>
      <c r="D31" s="11">
        <v>0.17799999999999999</v>
      </c>
      <c r="E31" s="10"/>
      <c r="F31" s="10"/>
      <c r="G31" s="12">
        <f>ROUNDUP(D31*README!$B$13*(1+README!$B$14),0)</f>
        <v>2</v>
      </c>
      <c r="H31" s="12">
        <f>G31+ROUNDUP(D31*README!$B$15,0)</f>
        <v>5</v>
      </c>
    </row>
    <row r="32" spans="1:8" x14ac:dyDescent="0.25">
      <c r="A32" s="10" t="s">
        <v>80</v>
      </c>
      <c r="B32" s="10" t="s">
        <v>81</v>
      </c>
      <c r="C32" s="10">
        <v>10</v>
      </c>
      <c r="D32" s="11">
        <v>0.111</v>
      </c>
      <c r="E32" s="10"/>
      <c r="F32" s="10"/>
      <c r="G32" s="12">
        <f>ROUNDUP(D32*README!$B$13*(1+README!$B$14),0)</f>
        <v>1</v>
      </c>
      <c r="H32" s="12">
        <f>G32+ROUNDUP(D32*README!$B$15,0)</f>
        <v>3</v>
      </c>
    </row>
    <row r="33" spans="1:8" x14ac:dyDescent="0.25">
      <c r="A33" s="10" t="s">
        <v>25</v>
      </c>
      <c r="B33" s="10" t="s">
        <v>123</v>
      </c>
      <c r="C33" s="10">
        <v>15</v>
      </c>
      <c r="D33" s="11">
        <v>0.16700000000000001</v>
      </c>
      <c r="E33" s="10"/>
      <c r="F33" s="10"/>
      <c r="G33" s="12">
        <f>ROUNDUP(D33*README!$B$13*(1+README!$B$14),0)</f>
        <v>2</v>
      </c>
      <c r="H33" s="12">
        <f>G33+ROUNDUP(D33*README!$B$15,0)</f>
        <v>5</v>
      </c>
    </row>
    <row r="34" spans="1:8" x14ac:dyDescent="0.25">
      <c r="A34" s="10" t="s">
        <v>126</v>
      </c>
      <c r="B34" s="10" t="s">
        <v>127</v>
      </c>
      <c r="C34" s="10">
        <v>14</v>
      </c>
      <c r="D34" s="11">
        <v>0.156</v>
      </c>
      <c r="E34" s="10"/>
      <c r="F34" s="10"/>
      <c r="G34" s="12">
        <f>ROUNDUP(D34*README!$B$13*(1+README!$B$14),0)</f>
        <v>2</v>
      </c>
      <c r="H34" s="12">
        <f>G34+ROUNDUP(D34*README!$B$15,0)</f>
        <v>5</v>
      </c>
    </row>
    <row r="35" spans="1:8" x14ac:dyDescent="0.25">
      <c r="A35" s="10" t="s">
        <v>129</v>
      </c>
      <c r="B35" s="10" t="s">
        <v>130</v>
      </c>
      <c r="C35" s="10">
        <v>14</v>
      </c>
      <c r="D35" s="11">
        <v>0.156</v>
      </c>
      <c r="E35" s="10"/>
      <c r="F35" s="10"/>
      <c r="G35" s="12">
        <f>ROUNDUP(D35*README!$B$13*(1+README!$B$14),0)</f>
        <v>2</v>
      </c>
      <c r="H35" s="12">
        <f>G35+ROUNDUP(D35*README!$B$15,0)</f>
        <v>5</v>
      </c>
    </row>
    <row r="36" spans="1:8" x14ac:dyDescent="0.25">
      <c r="A36" s="10" t="s">
        <v>84</v>
      </c>
      <c r="B36" s="10" t="s">
        <v>85</v>
      </c>
      <c r="C36" s="10">
        <v>15</v>
      </c>
      <c r="D36" s="11">
        <v>0.16700000000000001</v>
      </c>
      <c r="E36" s="10"/>
      <c r="F36" s="10"/>
      <c r="G36" s="12">
        <f>ROUNDUP(D36*README!$B$13*(1+README!$B$14),0)</f>
        <v>2</v>
      </c>
      <c r="H36" s="12">
        <f>G36+ROUNDUP(D36*README!$B$15,0)</f>
        <v>5</v>
      </c>
    </row>
    <row r="37" spans="1:8" x14ac:dyDescent="0.25">
      <c r="A37" s="10" t="s">
        <v>131</v>
      </c>
      <c r="B37" s="10" t="s">
        <v>132</v>
      </c>
      <c r="C37" s="10">
        <v>16</v>
      </c>
      <c r="D37" s="11">
        <v>0.17799999999999999</v>
      </c>
      <c r="E37" s="10"/>
      <c r="F37" s="10"/>
      <c r="G37" s="12">
        <f>ROUNDUP(D37*README!$B$13*(1+README!$B$14),0)</f>
        <v>2</v>
      </c>
      <c r="H37" s="12">
        <f>G37+ROUNDUP(D37*README!$B$15,0)</f>
        <v>5</v>
      </c>
    </row>
    <row r="38" spans="1:8" x14ac:dyDescent="0.25">
      <c r="A38" s="10" t="s">
        <v>134</v>
      </c>
      <c r="B38" s="10" t="s">
        <v>135</v>
      </c>
      <c r="C38" s="10">
        <v>10</v>
      </c>
      <c r="D38" s="11">
        <v>0.111</v>
      </c>
      <c r="E38" s="10"/>
      <c r="F38" s="10"/>
      <c r="G38" s="12">
        <f>ROUNDUP(D38*README!$B$13*(1+README!$B$14),0)</f>
        <v>1</v>
      </c>
      <c r="H38" s="12">
        <f>G38+ROUNDUP(D38*README!$B$15,0)</f>
        <v>3</v>
      </c>
    </row>
    <row r="39" spans="1:8" x14ac:dyDescent="0.25">
      <c r="A39" s="10" t="s">
        <v>64</v>
      </c>
      <c r="B39" s="10" t="s">
        <v>138</v>
      </c>
      <c r="C39" s="10">
        <v>11</v>
      </c>
      <c r="D39" s="11">
        <v>0.122</v>
      </c>
      <c r="E39" s="10"/>
      <c r="F39" s="10"/>
      <c r="G39" s="12">
        <f>ROUNDUP(D39*README!$B$13*(1+README!$B$14),0)</f>
        <v>2</v>
      </c>
      <c r="H39" s="12">
        <f>G39+ROUNDUP(D39*README!$B$15,0)</f>
        <v>4</v>
      </c>
    </row>
    <row r="40" spans="1:8" x14ac:dyDescent="0.25">
      <c r="A40" s="10" t="s">
        <v>141</v>
      </c>
      <c r="B40" s="10" t="s">
        <v>142</v>
      </c>
      <c r="C40" s="10">
        <v>10</v>
      </c>
      <c r="D40" s="11">
        <v>0.111</v>
      </c>
      <c r="E40" s="10"/>
      <c r="F40" s="10"/>
      <c r="G40" s="12">
        <f>ROUNDUP(D40*README!$B$13*(1+README!$B$14),0)</f>
        <v>1</v>
      </c>
      <c r="H40" s="12">
        <f>G40+ROUNDUP(D40*README!$B$15,0)</f>
        <v>3</v>
      </c>
    </row>
    <row r="41" spans="1:8" x14ac:dyDescent="0.25">
      <c r="A41" s="10" t="s">
        <v>91</v>
      </c>
      <c r="B41" s="10" t="s">
        <v>92</v>
      </c>
      <c r="C41" s="10">
        <v>10</v>
      </c>
      <c r="D41" s="11">
        <v>0.111</v>
      </c>
      <c r="E41" s="10"/>
      <c r="F41" s="10"/>
      <c r="G41" s="12">
        <f>ROUNDUP(D41*README!$B$13*(1+README!$B$14),0)</f>
        <v>1</v>
      </c>
      <c r="H41" s="12">
        <f>G41+ROUNDUP(D41*README!$B$15,0)</f>
        <v>3</v>
      </c>
    </row>
    <row r="42" spans="1:8" x14ac:dyDescent="0.25">
      <c r="A42" s="10" t="s">
        <v>25</v>
      </c>
      <c r="B42" s="10" t="s">
        <v>143</v>
      </c>
      <c r="C42" s="10">
        <v>11</v>
      </c>
      <c r="D42" s="11">
        <v>0.122</v>
      </c>
      <c r="E42" s="10"/>
      <c r="F42" s="10"/>
      <c r="G42" s="12">
        <f>ROUNDUP(D42*README!$B$13*(1+README!$B$14),0)</f>
        <v>2</v>
      </c>
      <c r="H42" s="12">
        <f>G42+ROUNDUP(D42*README!$B$15,0)</f>
        <v>4</v>
      </c>
    </row>
    <row r="43" spans="1:8" x14ac:dyDescent="0.25">
      <c r="A43" s="10" t="s">
        <v>25</v>
      </c>
      <c r="B43" s="10" t="s">
        <v>190</v>
      </c>
      <c r="C43" s="10">
        <v>17</v>
      </c>
      <c r="D43" s="11">
        <v>0.189</v>
      </c>
      <c r="E43" s="10"/>
      <c r="F43" s="10"/>
      <c r="G43" s="12">
        <f>ROUNDUP(D43*README!$B$13*(1+README!$B$14),0)</f>
        <v>2</v>
      </c>
      <c r="H43" s="12">
        <f>G43+ROUNDUP(D43*README!$B$15,0)</f>
        <v>5</v>
      </c>
    </row>
    <row r="44" spans="1:8" x14ac:dyDescent="0.25">
      <c r="A44" s="10" t="s">
        <v>25</v>
      </c>
      <c r="B44" s="10" t="s">
        <v>146</v>
      </c>
      <c r="C44" s="10">
        <v>12</v>
      </c>
      <c r="D44" s="11">
        <v>0.13300000000000001</v>
      </c>
      <c r="E44" s="10"/>
      <c r="F44" s="10"/>
      <c r="G44" s="12">
        <f>ROUNDUP(D44*README!$B$13*(1+README!$B$14),0)</f>
        <v>2</v>
      </c>
      <c r="H44" s="12">
        <f>G44+ROUNDUP(D44*README!$B$15,0)</f>
        <v>4</v>
      </c>
    </row>
    <row r="45" spans="1:8" x14ac:dyDescent="0.25">
      <c r="A45" s="10" t="s">
        <v>155</v>
      </c>
      <c r="B45" s="10" t="s">
        <v>156</v>
      </c>
      <c r="C45" s="10">
        <v>17</v>
      </c>
      <c r="D45" s="11">
        <v>0.189</v>
      </c>
      <c r="E45" s="10"/>
      <c r="F45" s="10"/>
      <c r="G45" s="12">
        <f>ROUNDUP(D45*README!$B$13*(1+README!$B$14),0)</f>
        <v>2</v>
      </c>
      <c r="H45" s="12">
        <f>G45+ROUNDUP(D45*README!$B$15,0)</f>
        <v>5</v>
      </c>
    </row>
    <row r="46" spans="1:8" x14ac:dyDescent="0.25">
      <c r="A46" s="10" t="s">
        <v>157</v>
      </c>
      <c r="B46" s="10" t="s">
        <v>158</v>
      </c>
      <c r="C46" s="10">
        <v>10</v>
      </c>
      <c r="D46" s="11">
        <v>0.111</v>
      </c>
      <c r="E46" s="10"/>
      <c r="F46" s="10"/>
      <c r="G46" s="12">
        <f>ROUNDUP(D46*README!$B$13*(1+README!$B$14),0)</f>
        <v>1</v>
      </c>
      <c r="H46" s="12">
        <f>G46+ROUNDUP(D46*README!$B$15,0)</f>
        <v>3</v>
      </c>
    </row>
    <row r="47" spans="1:8" x14ac:dyDescent="0.25">
      <c r="A47" s="10" t="s">
        <v>159</v>
      </c>
      <c r="B47" s="10" t="s">
        <v>160</v>
      </c>
      <c r="C47" s="10">
        <v>10</v>
      </c>
      <c r="D47" s="11">
        <v>0.111</v>
      </c>
      <c r="E47" s="10"/>
      <c r="F47" s="10"/>
      <c r="G47" s="12">
        <f>ROUNDUP(D47*README!$B$13*(1+README!$B$14),0)</f>
        <v>1</v>
      </c>
      <c r="H47" s="12">
        <f>G47+ROUNDUP(D47*README!$B$15,0)</f>
        <v>3</v>
      </c>
    </row>
    <row r="48" spans="1:8" x14ac:dyDescent="0.25">
      <c r="A48" s="10" t="s">
        <v>64</v>
      </c>
      <c r="B48" s="10" t="s">
        <v>165</v>
      </c>
      <c r="C48" s="10">
        <v>11</v>
      </c>
      <c r="D48" s="11">
        <v>0.122</v>
      </c>
      <c r="E48" s="10"/>
      <c r="F48" s="10"/>
      <c r="G48" s="12">
        <f>ROUNDUP(D48*README!$B$13*(1+README!$B$14),0)</f>
        <v>2</v>
      </c>
      <c r="H48" s="12">
        <f>G48+ROUNDUP(D48*README!$B$15,0)</f>
        <v>4</v>
      </c>
    </row>
    <row r="49" spans="1:8" x14ac:dyDescent="0.25">
      <c r="A49" s="10" t="s">
        <v>61</v>
      </c>
      <c r="B49" s="10" t="s">
        <v>174</v>
      </c>
      <c r="C49" s="10">
        <v>11</v>
      </c>
      <c r="D49" s="11">
        <v>0.122</v>
      </c>
      <c r="E49" s="10"/>
      <c r="F49" s="10"/>
      <c r="G49" s="12">
        <f>ROUNDUP(D49*README!$B$13*(1+README!$B$14),0)</f>
        <v>2</v>
      </c>
      <c r="H49" s="12">
        <f>G49+ROUNDUP(D49*README!$B$15,0)</f>
        <v>4</v>
      </c>
    </row>
    <row r="50" spans="1:8" x14ac:dyDescent="0.25">
      <c r="A50" s="10" t="s">
        <v>25</v>
      </c>
      <c r="B50" s="10" t="s">
        <v>194</v>
      </c>
      <c r="C50" s="10">
        <v>17</v>
      </c>
      <c r="D50" s="11">
        <v>0.189</v>
      </c>
      <c r="E50" s="10"/>
      <c r="F50" s="10"/>
      <c r="G50" s="12">
        <f>ROUNDUP(D50*README!$B$13*(1+README!$B$14),0)</f>
        <v>2</v>
      </c>
      <c r="H50" s="12">
        <f>G50+ROUNDUP(D50*README!$B$15,0)</f>
        <v>5</v>
      </c>
    </row>
    <row r="51" spans="1:8" x14ac:dyDescent="0.25">
      <c r="A51" s="10" t="s">
        <v>178</v>
      </c>
      <c r="B51" s="10" t="s">
        <v>179</v>
      </c>
      <c r="C51" s="10">
        <v>10</v>
      </c>
      <c r="D51" s="11">
        <v>0.111</v>
      </c>
      <c r="E51" s="10"/>
      <c r="F51" s="10"/>
      <c r="G51" s="12">
        <f>ROUNDUP(D51*README!$B$13*(1+README!$B$14),0)</f>
        <v>1</v>
      </c>
      <c r="H51" s="12">
        <f>G51+ROUNDUP(D51*README!$B$15,0)</f>
        <v>3</v>
      </c>
    </row>
    <row r="52" spans="1:8" x14ac:dyDescent="0.25">
      <c r="A52" s="10" t="s">
        <v>61</v>
      </c>
      <c r="B52" s="10" t="s">
        <v>180</v>
      </c>
      <c r="C52" s="10">
        <v>11</v>
      </c>
      <c r="D52" s="11">
        <v>0.122</v>
      </c>
      <c r="E52" s="10"/>
      <c r="F52" s="10"/>
      <c r="G52" s="12">
        <f>ROUNDUP(D52*README!$B$13*(1+README!$B$14),0)</f>
        <v>2</v>
      </c>
      <c r="H52" s="12">
        <f>G52+ROUNDUP(D52*README!$B$15,0)</f>
        <v>4</v>
      </c>
    </row>
    <row r="53" spans="1:8" x14ac:dyDescent="0.25">
      <c r="A53" s="10" t="s">
        <v>181</v>
      </c>
      <c r="B53" s="10" t="s">
        <v>182</v>
      </c>
      <c r="C53" s="10">
        <v>12</v>
      </c>
      <c r="D53" s="11">
        <v>0.13300000000000001</v>
      </c>
      <c r="E53" s="10"/>
      <c r="F53" s="10"/>
      <c r="G53" s="12">
        <f>ROUNDUP(D53*README!$B$13*(1+README!$B$14),0)</f>
        <v>2</v>
      </c>
      <c r="H53" s="12">
        <f>G53+ROUNDUP(D53*README!$B$15,0)</f>
        <v>4</v>
      </c>
    </row>
    <row r="54" spans="1:8" x14ac:dyDescent="0.25">
      <c r="A54" s="10" t="s">
        <v>30</v>
      </c>
      <c r="B54" s="10" t="s">
        <v>44</v>
      </c>
      <c r="C54" s="10">
        <v>7</v>
      </c>
      <c r="D54" s="11">
        <v>7.8E-2</v>
      </c>
      <c r="E54" s="10"/>
      <c r="F54" s="10"/>
      <c r="G54" s="12">
        <f>ROUNDUP(D54*README!$B$13*(1+README!$B$14),0)</f>
        <v>1</v>
      </c>
      <c r="H54" s="12">
        <f>G54+ROUNDUP(D54*README!$B$15,0)</f>
        <v>3</v>
      </c>
    </row>
    <row r="55" spans="1:8" x14ac:dyDescent="0.25">
      <c r="A55" s="10" t="s">
        <v>47</v>
      </c>
      <c r="B55" s="10" t="s">
        <v>48</v>
      </c>
      <c r="C55" s="10">
        <v>6</v>
      </c>
      <c r="D55" s="11">
        <v>6.7000000000000004E-2</v>
      </c>
      <c r="E55" s="10"/>
      <c r="F55" s="10"/>
      <c r="G55" s="12">
        <f>ROUNDUP(D55*README!$B$13*(1+README!$B$14),0)</f>
        <v>1</v>
      </c>
      <c r="H55" s="12">
        <f>G55+ROUNDUP(D55*README!$B$15,0)</f>
        <v>2</v>
      </c>
    </row>
    <row r="56" spans="1:8" x14ac:dyDescent="0.25">
      <c r="A56" s="10" t="s">
        <v>63</v>
      </c>
      <c r="B56" s="10" t="s">
        <v>63</v>
      </c>
      <c r="C56" s="10">
        <v>3</v>
      </c>
      <c r="D56" s="11">
        <v>3.3000000000000002E-2</v>
      </c>
      <c r="E56" s="10"/>
      <c r="F56" s="10"/>
      <c r="G56" s="12">
        <f>ROUNDUP(D56*README!$B$13*(1+README!$B$14),0)</f>
        <v>1</v>
      </c>
      <c r="H56" s="12">
        <f>G56+ROUNDUP(D56*README!$B$15,0)</f>
        <v>2</v>
      </c>
    </row>
    <row r="57" spans="1:8" x14ac:dyDescent="0.25">
      <c r="A57" s="10" t="s">
        <v>70</v>
      </c>
      <c r="B57" s="10" t="s">
        <v>71</v>
      </c>
      <c r="C57" s="10">
        <v>7</v>
      </c>
      <c r="D57" s="11">
        <v>7.8E-2</v>
      </c>
      <c r="E57" s="10"/>
      <c r="F57" s="10"/>
      <c r="G57" s="12">
        <f>ROUNDUP(D57*README!$B$13*(1+README!$B$14),0)</f>
        <v>1</v>
      </c>
      <c r="H57" s="12">
        <f>G57+ROUNDUP(D57*README!$B$15,0)</f>
        <v>3</v>
      </c>
    </row>
    <row r="58" spans="1:8" x14ac:dyDescent="0.25">
      <c r="A58" s="10" t="s">
        <v>77</v>
      </c>
      <c r="B58" s="10" t="s">
        <v>78</v>
      </c>
      <c r="C58" s="10">
        <v>9</v>
      </c>
      <c r="D58" s="11">
        <v>0.1</v>
      </c>
      <c r="E58" s="10"/>
      <c r="F58" s="10"/>
      <c r="G58" s="12">
        <f>ROUNDUP(D58*README!$B$13*(1+README!$B$14),0)</f>
        <v>1</v>
      </c>
      <c r="H58" s="12">
        <f>G58+ROUNDUP(D58*README!$B$15,0)</f>
        <v>3</v>
      </c>
    </row>
    <row r="59" spans="1:8" x14ac:dyDescent="0.25">
      <c r="A59" s="10" t="s">
        <v>25</v>
      </c>
      <c r="B59" s="10" t="s">
        <v>79</v>
      </c>
      <c r="C59" s="10">
        <v>5</v>
      </c>
      <c r="D59" s="11">
        <v>5.6000000000000001E-2</v>
      </c>
      <c r="E59" s="10"/>
      <c r="F59" s="10"/>
      <c r="G59" s="12">
        <f>ROUNDUP(D59*README!$B$13*(1+README!$B$14),0)</f>
        <v>1</v>
      </c>
      <c r="H59" s="12">
        <f>G59+ROUNDUP(D59*README!$B$15,0)</f>
        <v>2</v>
      </c>
    </row>
    <row r="60" spans="1:8" x14ac:dyDescent="0.25">
      <c r="A60" s="10" t="s">
        <v>82</v>
      </c>
      <c r="B60" s="10" t="s">
        <v>83</v>
      </c>
      <c r="C60" s="10">
        <v>5</v>
      </c>
      <c r="D60" s="11">
        <v>5.6000000000000001E-2</v>
      </c>
      <c r="E60" s="10"/>
      <c r="F60" s="10"/>
      <c r="G60" s="12">
        <f>ROUNDUP(D60*README!$B$13*(1+README!$B$14),0)</f>
        <v>1</v>
      </c>
      <c r="H60" s="12">
        <f>G60+ROUNDUP(D60*README!$B$15,0)</f>
        <v>2</v>
      </c>
    </row>
    <row r="61" spans="1:8" x14ac:dyDescent="0.25">
      <c r="A61" s="10" t="s">
        <v>124</v>
      </c>
      <c r="B61" s="10" t="s">
        <v>125</v>
      </c>
      <c r="C61" s="10">
        <v>8</v>
      </c>
      <c r="D61" s="11">
        <v>8.8999999999999996E-2</v>
      </c>
      <c r="E61" s="10"/>
      <c r="F61" s="10"/>
      <c r="G61" s="12">
        <f>ROUNDUP(D61*README!$B$13*(1+README!$B$14),0)</f>
        <v>1</v>
      </c>
      <c r="H61" s="12">
        <f>G61+ROUNDUP(D61*README!$B$15,0)</f>
        <v>3</v>
      </c>
    </row>
    <row r="62" spans="1:8" x14ac:dyDescent="0.25">
      <c r="A62" s="10" t="s">
        <v>30</v>
      </c>
      <c r="B62" s="10" t="s">
        <v>128</v>
      </c>
      <c r="C62" s="10">
        <v>7</v>
      </c>
      <c r="D62" s="11">
        <v>7.8E-2</v>
      </c>
      <c r="E62" s="10"/>
      <c r="F62" s="10"/>
      <c r="G62" s="12">
        <f>ROUNDUP(D62*README!$B$13*(1+README!$B$14),0)</f>
        <v>1</v>
      </c>
      <c r="H62" s="12">
        <f>G62+ROUNDUP(D62*README!$B$15,0)</f>
        <v>3</v>
      </c>
    </row>
    <row r="63" spans="1:8" x14ac:dyDescent="0.25">
      <c r="A63" s="10" t="s">
        <v>86</v>
      </c>
      <c r="B63" s="10" t="s">
        <v>87</v>
      </c>
      <c r="C63" s="10">
        <v>7</v>
      </c>
      <c r="D63" s="11">
        <v>7.8E-2</v>
      </c>
      <c r="E63" s="10"/>
      <c r="F63" s="10"/>
      <c r="G63" s="12">
        <f>ROUNDUP(D63*README!$B$13*(1+README!$B$14),0)</f>
        <v>1</v>
      </c>
      <c r="H63" s="12">
        <f>G63+ROUNDUP(D63*README!$B$15,0)</f>
        <v>3</v>
      </c>
    </row>
    <row r="64" spans="1:8" x14ac:dyDescent="0.25">
      <c r="A64" s="10" t="s">
        <v>89</v>
      </c>
      <c r="B64" s="10" t="s">
        <v>90</v>
      </c>
      <c r="C64" s="10">
        <v>7</v>
      </c>
      <c r="D64" s="11">
        <v>7.8E-2</v>
      </c>
      <c r="E64" s="10"/>
      <c r="F64" s="10"/>
      <c r="G64" s="12">
        <f>ROUNDUP(D64*README!$B$13*(1+README!$B$14),0)</f>
        <v>1</v>
      </c>
      <c r="H64" s="12">
        <f>G64+ROUNDUP(D64*README!$B$15,0)</f>
        <v>3</v>
      </c>
    </row>
    <row r="65" spans="1:8" x14ac:dyDescent="0.25">
      <c r="A65" s="10" t="s">
        <v>51</v>
      </c>
      <c r="B65" s="10" t="s">
        <v>52</v>
      </c>
      <c r="C65" s="10">
        <v>3</v>
      </c>
      <c r="D65" s="11">
        <v>3.3000000000000002E-2</v>
      </c>
      <c r="E65" s="10"/>
      <c r="F65" s="10"/>
      <c r="G65" s="12">
        <f>ROUNDUP(D65*README!$B$13*(1+README!$B$14),0)</f>
        <v>1</v>
      </c>
      <c r="H65" s="12">
        <f>G65+ROUNDUP(D65*README!$B$15,0)</f>
        <v>2</v>
      </c>
    </row>
    <row r="66" spans="1:8" x14ac:dyDescent="0.25">
      <c r="A66" s="10" t="s">
        <v>136</v>
      </c>
      <c r="B66" s="10" t="s">
        <v>137</v>
      </c>
      <c r="C66" s="10">
        <v>8</v>
      </c>
      <c r="D66" s="11">
        <v>8.8999999999999996E-2</v>
      </c>
      <c r="E66" s="10"/>
      <c r="F66" s="10"/>
      <c r="G66" s="12">
        <f>ROUNDUP(D66*README!$B$13*(1+README!$B$14),0)</f>
        <v>1</v>
      </c>
      <c r="H66" s="12">
        <f>G66+ROUNDUP(D66*README!$B$15,0)</f>
        <v>3</v>
      </c>
    </row>
    <row r="67" spans="1:8" x14ac:dyDescent="0.25">
      <c r="A67" s="10" t="s">
        <v>139</v>
      </c>
      <c r="B67" s="10" t="s">
        <v>140</v>
      </c>
      <c r="C67" s="10">
        <v>4</v>
      </c>
      <c r="D67" s="11">
        <v>4.3999999999999997E-2</v>
      </c>
      <c r="E67" s="10"/>
      <c r="F67" s="10"/>
      <c r="G67" s="12">
        <f>ROUNDUP(D67*README!$B$13*(1+README!$B$14),0)</f>
        <v>1</v>
      </c>
      <c r="H67" s="12">
        <f>G67+ROUNDUP(D67*README!$B$15,0)</f>
        <v>2</v>
      </c>
    </row>
    <row r="68" spans="1:8" x14ac:dyDescent="0.25">
      <c r="A68" s="10" t="s">
        <v>93</v>
      </c>
      <c r="B68" s="10" t="s">
        <v>94</v>
      </c>
      <c r="C68" s="10">
        <v>3</v>
      </c>
      <c r="D68" s="11">
        <v>3.3000000000000002E-2</v>
      </c>
      <c r="E68" s="10"/>
      <c r="F68" s="10"/>
      <c r="G68" s="12">
        <f>ROUNDUP(D68*README!$B$13*(1+README!$B$14),0)</f>
        <v>1</v>
      </c>
      <c r="H68" s="12">
        <f>G68+ROUNDUP(D68*README!$B$15,0)</f>
        <v>2</v>
      </c>
    </row>
    <row r="69" spans="1:8" x14ac:dyDescent="0.25">
      <c r="A69" s="10" t="s">
        <v>97</v>
      </c>
      <c r="B69" s="10" t="s">
        <v>98</v>
      </c>
      <c r="C69" s="10">
        <v>7</v>
      </c>
      <c r="D69" s="11">
        <v>7.8E-2</v>
      </c>
      <c r="E69" s="10"/>
      <c r="F69" s="10"/>
      <c r="G69" s="12">
        <f>ROUNDUP(D69*README!$B$13*(1+README!$B$14),0)</f>
        <v>1</v>
      </c>
      <c r="H69" s="12">
        <f>G69+ROUNDUP(D69*README!$B$15,0)</f>
        <v>3</v>
      </c>
    </row>
    <row r="70" spans="1:8" x14ac:dyDescent="0.25">
      <c r="A70" s="10" t="s">
        <v>144</v>
      </c>
      <c r="B70" s="10" t="s">
        <v>145</v>
      </c>
      <c r="C70" s="10">
        <v>9</v>
      </c>
      <c r="D70" s="11">
        <v>0.1</v>
      </c>
      <c r="E70" s="10"/>
      <c r="F70" s="10"/>
      <c r="G70" s="12">
        <f>ROUNDUP(D70*README!$B$13*(1+README!$B$14),0)</f>
        <v>1</v>
      </c>
      <c r="H70" s="12">
        <f>G70+ROUNDUP(D70*README!$B$15,0)</f>
        <v>3</v>
      </c>
    </row>
    <row r="71" spans="1:8" x14ac:dyDescent="0.25">
      <c r="A71" s="10" t="s">
        <v>99</v>
      </c>
      <c r="B71" s="10" t="s">
        <v>100</v>
      </c>
      <c r="C71" s="10">
        <v>1</v>
      </c>
      <c r="D71" s="11">
        <v>1.0999999999999999E-2</v>
      </c>
      <c r="E71" s="10"/>
      <c r="F71" s="10"/>
      <c r="G71" s="12">
        <f>ROUNDUP(D71*README!$B$13*(1+README!$B$14),0)</f>
        <v>1</v>
      </c>
      <c r="H71" s="12">
        <f>G71+ROUNDUP(D71*README!$B$15,0)</f>
        <v>2</v>
      </c>
    </row>
    <row r="72" spans="1:8" x14ac:dyDescent="0.25">
      <c r="A72" s="10" t="s">
        <v>101</v>
      </c>
      <c r="B72" s="10" t="s">
        <v>102</v>
      </c>
      <c r="C72" s="10">
        <v>9</v>
      </c>
      <c r="D72" s="11">
        <v>0.1</v>
      </c>
      <c r="E72" s="10"/>
      <c r="F72" s="10"/>
      <c r="G72" s="12">
        <f>ROUNDUP(D72*README!$B$13*(1+README!$B$14),0)</f>
        <v>1</v>
      </c>
      <c r="H72" s="12">
        <f>G72+ROUNDUP(D72*README!$B$15,0)</f>
        <v>3</v>
      </c>
    </row>
    <row r="73" spans="1:8" x14ac:dyDescent="0.25">
      <c r="A73" s="10" t="s">
        <v>103</v>
      </c>
      <c r="B73" s="10" t="s">
        <v>104</v>
      </c>
      <c r="C73" s="10">
        <v>4</v>
      </c>
      <c r="D73" s="11">
        <v>4.3999999999999997E-2</v>
      </c>
      <c r="E73" s="10"/>
      <c r="F73" s="10"/>
      <c r="G73" s="12">
        <f>ROUNDUP(D73*README!$B$13*(1+README!$B$14),0)</f>
        <v>1</v>
      </c>
      <c r="H73" s="12">
        <f>G73+ROUNDUP(D73*README!$B$15,0)</f>
        <v>2</v>
      </c>
    </row>
    <row r="74" spans="1:8" x14ac:dyDescent="0.25">
      <c r="A74" s="10" t="s">
        <v>147</v>
      </c>
      <c r="B74" s="10" t="s">
        <v>148</v>
      </c>
      <c r="C74" s="10">
        <v>4</v>
      </c>
      <c r="D74" s="11">
        <v>4.3999999999999997E-2</v>
      </c>
      <c r="E74" s="10"/>
      <c r="F74" s="10"/>
      <c r="G74" s="12">
        <f>ROUNDUP(D74*README!$B$13*(1+README!$B$14),0)</f>
        <v>1</v>
      </c>
      <c r="H74" s="12">
        <f>G74+ROUNDUP(D74*README!$B$15,0)</f>
        <v>2</v>
      </c>
    </row>
    <row r="75" spans="1:8" x14ac:dyDescent="0.25">
      <c r="A75" s="10" t="s">
        <v>149</v>
      </c>
      <c r="B75" s="10" t="s">
        <v>150</v>
      </c>
      <c r="C75" s="10">
        <v>6</v>
      </c>
      <c r="D75" s="11">
        <v>6.7000000000000004E-2</v>
      </c>
      <c r="E75" s="10"/>
      <c r="F75" s="10"/>
      <c r="G75" s="12">
        <f>ROUNDUP(D75*README!$B$13*(1+README!$B$14),0)</f>
        <v>1</v>
      </c>
      <c r="H75" s="12">
        <f>G75+ROUNDUP(D75*README!$B$15,0)</f>
        <v>2</v>
      </c>
    </row>
    <row r="76" spans="1:8" x14ac:dyDescent="0.25">
      <c r="A76" s="10" t="s">
        <v>151</v>
      </c>
      <c r="B76" s="10" t="s">
        <v>152</v>
      </c>
      <c r="C76" s="10">
        <v>6</v>
      </c>
      <c r="D76" s="11">
        <v>6.7000000000000004E-2</v>
      </c>
      <c r="E76" s="10"/>
      <c r="F76" s="10"/>
      <c r="G76" s="12">
        <f>ROUNDUP(D76*README!$B$13*(1+README!$B$14),0)</f>
        <v>1</v>
      </c>
      <c r="H76" s="12">
        <f>G76+ROUNDUP(D76*README!$B$15,0)</f>
        <v>2</v>
      </c>
    </row>
    <row r="77" spans="1:8" x14ac:dyDescent="0.25">
      <c r="A77" s="10" t="s">
        <v>153</v>
      </c>
      <c r="B77" s="10" t="s">
        <v>154</v>
      </c>
      <c r="C77" s="10">
        <v>4</v>
      </c>
      <c r="D77" s="11">
        <v>4.3999999999999997E-2</v>
      </c>
      <c r="E77" s="10"/>
      <c r="F77" s="10"/>
      <c r="G77" s="12">
        <f>ROUNDUP(D77*README!$B$13*(1+README!$B$14),0)</f>
        <v>1</v>
      </c>
      <c r="H77" s="12">
        <f>G77+ROUNDUP(D77*README!$B$15,0)</f>
        <v>2</v>
      </c>
    </row>
    <row r="78" spans="1:8" x14ac:dyDescent="0.25">
      <c r="A78" s="10" t="s">
        <v>161</v>
      </c>
      <c r="B78" s="10" t="s">
        <v>162</v>
      </c>
      <c r="C78" s="10">
        <v>1</v>
      </c>
      <c r="D78" s="11">
        <v>1.0999999999999999E-2</v>
      </c>
      <c r="E78" s="10"/>
      <c r="F78" s="10"/>
      <c r="G78" s="12">
        <f>ROUNDUP(D78*README!$B$13*(1+README!$B$14),0)</f>
        <v>1</v>
      </c>
      <c r="H78" s="12">
        <f>G78+ROUNDUP(D78*README!$B$15,0)</f>
        <v>2</v>
      </c>
    </row>
    <row r="79" spans="1:8" x14ac:dyDescent="0.25">
      <c r="A79" s="10" t="s">
        <v>163</v>
      </c>
      <c r="B79" s="10" t="s">
        <v>164</v>
      </c>
      <c r="C79" s="10">
        <v>6</v>
      </c>
      <c r="D79" s="11">
        <v>6.7000000000000004E-2</v>
      </c>
      <c r="E79" s="10"/>
      <c r="F79" s="10"/>
      <c r="G79" s="12">
        <f>ROUNDUP(D79*README!$B$13*(1+README!$B$14),0)</f>
        <v>1</v>
      </c>
      <c r="H79" s="12">
        <f>G79+ROUNDUP(D79*README!$B$15,0)</f>
        <v>2</v>
      </c>
    </row>
    <row r="80" spans="1:8" x14ac:dyDescent="0.25">
      <c r="A80" s="10" t="s">
        <v>191</v>
      </c>
      <c r="B80" s="10" t="s">
        <v>192</v>
      </c>
      <c r="C80" s="10">
        <v>9</v>
      </c>
      <c r="D80" s="11">
        <v>0.1</v>
      </c>
      <c r="E80" s="10"/>
      <c r="F80" s="10"/>
      <c r="G80" s="12">
        <f>ROUNDUP(D80*README!$B$13*(1+README!$B$14),0)</f>
        <v>1</v>
      </c>
      <c r="H80" s="12">
        <f>G80+ROUNDUP(D80*README!$B$15,0)</f>
        <v>3</v>
      </c>
    </row>
    <row r="81" spans="1:8" x14ac:dyDescent="0.25">
      <c r="A81" s="10" t="s">
        <v>166</v>
      </c>
      <c r="B81" s="10" t="s">
        <v>167</v>
      </c>
      <c r="C81" s="10">
        <v>7</v>
      </c>
      <c r="D81" s="11">
        <v>7.8E-2</v>
      </c>
      <c r="E81" s="10"/>
      <c r="F81" s="10"/>
      <c r="G81" s="12">
        <f>ROUNDUP(D81*README!$B$13*(1+README!$B$14),0)</f>
        <v>1</v>
      </c>
      <c r="H81" s="12">
        <f>G81+ROUNDUP(D81*README!$B$15,0)</f>
        <v>3</v>
      </c>
    </row>
    <row r="82" spans="1:8" x14ac:dyDescent="0.25">
      <c r="A82" s="10" t="s">
        <v>25</v>
      </c>
      <c r="B82" s="10" t="s">
        <v>168</v>
      </c>
      <c r="C82" s="10">
        <v>8</v>
      </c>
      <c r="D82" s="11">
        <v>8.8999999999999996E-2</v>
      </c>
      <c r="E82" s="10"/>
      <c r="F82" s="10"/>
      <c r="G82" s="12">
        <f>ROUNDUP(D82*README!$B$13*(1+README!$B$14),0)</f>
        <v>1</v>
      </c>
      <c r="H82" s="12">
        <f>G82+ROUNDUP(D82*README!$B$15,0)</f>
        <v>3</v>
      </c>
    </row>
    <row r="83" spans="1:8" x14ac:dyDescent="0.25">
      <c r="A83" s="10" t="s">
        <v>25</v>
      </c>
      <c r="B83" s="10" t="s">
        <v>169</v>
      </c>
      <c r="C83" s="10">
        <v>7</v>
      </c>
      <c r="D83" s="11">
        <v>7.8E-2</v>
      </c>
      <c r="E83" s="10"/>
      <c r="F83" s="10"/>
      <c r="G83" s="12">
        <f>ROUNDUP(D83*README!$B$13*(1+README!$B$14),0)</f>
        <v>1</v>
      </c>
      <c r="H83" s="12">
        <f>G83+ROUNDUP(D83*README!$B$15,0)</f>
        <v>3</v>
      </c>
    </row>
    <row r="84" spans="1:8" x14ac:dyDescent="0.25">
      <c r="A84" s="10" t="s">
        <v>25</v>
      </c>
      <c r="B84" s="10" t="s">
        <v>170</v>
      </c>
      <c r="C84" s="10">
        <v>4</v>
      </c>
      <c r="D84" s="11">
        <v>4.3999999999999997E-2</v>
      </c>
      <c r="E84" s="10"/>
      <c r="F84" s="10"/>
      <c r="G84" s="12">
        <f>ROUNDUP(D84*README!$B$13*(1+README!$B$14),0)</f>
        <v>1</v>
      </c>
      <c r="H84" s="12">
        <f>G84+ROUNDUP(D84*README!$B$15,0)</f>
        <v>2</v>
      </c>
    </row>
    <row r="85" spans="1:8" x14ac:dyDescent="0.25">
      <c r="A85" s="10" t="s">
        <v>25</v>
      </c>
      <c r="B85" s="10" t="s">
        <v>171</v>
      </c>
      <c r="C85" s="10">
        <v>2</v>
      </c>
      <c r="D85" s="11">
        <v>2.1999999999999999E-2</v>
      </c>
      <c r="E85" s="10"/>
      <c r="F85" s="10"/>
      <c r="G85" s="12">
        <f>ROUNDUP(D85*README!$B$13*(1+README!$B$14),0)</f>
        <v>1</v>
      </c>
      <c r="H85" s="12">
        <f>G85+ROUNDUP(D85*README!$B$15,0)</f>
        <v>2</v>
      </c>
    </row>
    <row r="86" spans="1:8" x14ac:dyDescent="0.25">
      <c r="A86" s="10" t="s">
        <v>172</v>
      </c>
      <c r="B86" s="10" t="s">
        <v>173</v>
      </c>
      <c r="C86" s="10">
        <v>7</v>
      </c>
      <c r="D86" s="11">
        <v>7.8E-2</v>
      </c>
      <c r="E86" s="10"/>
      <c r="F86" s="10"/>
      <c r="G86" s="12">
        <f>ROUNDUP(D86*README!$B$13*(1+README!$B$14),0)</f>
        <v>1</v>
      </c>
      <c r="H86" s="12">
        <f>G86+ROUNDUP(D86*README!$B$15,0)</f>
        <v>3</v>
      </c>
    </row>
    <row r="87" spans="1:8" x14ac:dyDescent="0.25">
      <c r="A87" s="10" t="s">
        <v>30</v>
      </c>
      <c r="B87" s="10" t="s">
        <v>193</v>
      </c>
      <c r="C87" s="10">
        <v>8</v>
      </c>
      <c r="D87" s="11">
        <v>8.8999999999999996E-2</v>
      </c>
      <c r="E87" s="10"/>
      <c r="F87" s="10"/>
      <c r="G87" s="12">
        <f>ROUNDUP(D87*README!$B$13*(1+README!$B$14),0)</f>
        <v>1</v>
      </c>
      <c r="H87" s="12">
        <f>G87+ROUNDUP(D87*README!$B$15,0)</f>
        <v>3</v>
      </c>
    </row>
    <row r="88" spans="1:8" x14ac:dyDescent="0.25">
      <c r="A88" s="10" t="s">
        <v>175</v>
      </c>
      <c r="B88" s="10" t="s">
        <v>176</v>
      </c>
      <c r="C88" s="10">
        <v>6</v>
      </c>
      <c r="D88" s="11">
        <v>6.7000000000000004E-2</v>
      </c>
      <c r="E88" s="10"/>
      <c r="F88" s="10"/>
      <c r="G88" s="12">
        <f>ROUNDUP(D88*README!$B$13*(1+README!$B$14),0)</f>
        <v>1</v>
      </c>
      <c r="H88" s="12">
        <f>G88+ROUNDUP(D88*README!$B$15,0)</f>
        <v>2</v>
      </c>
    </row>
    <row r="89" spans="1:8" x14ac:dyDescent="0.25">
      <c r="A89" s="10" t="s">
        <v>25</v>
      </c>
      <c r="B89" s="10" t="s">
        <v>177</v>
      </c>
      <c r="C89" s="10">
        <v>7</v>
      </c>
      <c r="D89" s="11">
        <v>7.8E-2</v>
      </c>
      <c r="E89" s="10"/>
      <c r="F89" s="10"/>
      <c r="G89" s="12">
        <f>ROUNDUP(D89*README!$B$13*(1+README!$B$14),0)</f>
        <v>1</v>
      </c>
      <c r="H89" s="12">
        <f>G89+ROUNDUP(D89*README!$B$15,0)</f>
        <v>3</v>
      </c>
    </row>
    <row r="90" spans="1:8" x14ac:dyDescent="0.25">
      <c r="A90" s="10" t="s">
        <v>183</v>
      </c>
      <c r="B90" s="10" t="s">
        <v>184</v>
      </c>
      <c r="C90" s="10">
        <v>6</v>
      </c>
      <c r="D90" s="11">
        <v>6.7000000000000004E-2</v>
      </c>
      <c r="E90" s="10"/>
      <c r="F90" s="10"/>
      <c r="G90" s="12">
        <f>ROUNDUP(D90*README!$B$13*(1+README!$B$14),0)</f>
        <v>1</v>
      </c>
      <c r="H90" s="12">
        <f>G90+ROUNDUP(D90*README!$B$15,0)</f>
        <v>2</v>
      </c>
    </row>
    <row r="91" spans="1:8" x14ac:dyDescent="0.25">
      <c r="A91" s="10" t="s">
        <v>185</v>
      </c>
      <c r="B91" s="10" t="s">
        <v>186</v>
      </c>
      <c r="C91" s="10">
        <v>3</v>
      </c>
      <c r="D91" s="11">
        <v>3.3000000000000002E-2</v>
      </c>
      <c r="E91" s="10"/>
      <c r="F91" s="10"/>
      <c r="G91" s="12">
        <f>ROUNDUP(D91*README!$B$13*(1+README!$B$14),0)</f>
        <v>1</v>
      </c>
      <c r="H91" s="12">
        <f>G91+ROUNDUP(D91*README!$B$15,0)</f>
        <v>2</v>
      </c>
    </row>
    <row r="92" spans="1:8" x14ac:dyDescent="0.25">
      <c r="A92" s="10" t="s">
        <v>25</v>
      </c>
      <c r="B92" s="10" t="s">
        <v>26</v>
      </c>
      <c r="C92" s="10">
        <v>0</v>
      </c>
      <c r="D92" s="11">
        <v>0</v>
      </c>
      <c r="E92" s="10"/>
      <c r="F92" s="10"/>
      <c r="G92" s="12">
        <f>ROUNDUP(D92*README!$B$13*(1+README!$B$14),0)</f>
        <v>0</v>
      </c>
      <c r="H92" s="12">
        <f>G92+ROUNDUP(D92*README!$B$15,0)</f>
        <v>0</v>
      </c>
    </row>
    <row r="93" spans="1:8" x14ac:dyDescent="0.25">
      <c r="A93" s="10" t="s">
        <v>25</v>
      </c>
      <c r="B93" s="10" t="s">
        <v>27</v>
      </c>
      <c r="C93" s="10">
        <v>0</v>
      </c>
      <c r="D93" s="11">
        <v>0</v>
      </c>
      <c r="E93" s="10"/>
      <c r="F93" s="10"/>
      <c r="G93" s="12">
        <f>ROUNDUP(D93*README!$B$13*(1+README!$B$14),0)</f>
        <v>0</v>
      </c>
      <c r="H93" s="12">
        <f>G93+ROUNDUP(D93*README!$B$15,0)</f>
        <v>0</v>
      </c>
    </row>
    <row r="94" spans="1:8" x14ac:dyDescent="0.25">
      <c r="A94" s="10" t="s">
        <v>25</v>
      </c>
      <c r="B94" s="10" t="s">
        <v>37</v>
      </c>
      <c r="C94" s="10">
        <v>0</v>
      </c>
      <c r="D94" s="11">
        <v>0</v>
      </c>
      <c r="E94" s="10"/>
      <c r="F94" s="10"/>
      <c r="G94" s="12">
        <f>ROUNDUP(D94*README!$B$13*(1+README!$B$14),0)</f>
        <v>0</v>
      </c>
      <c r="H94" s="12">
        <f>G94+ROUNDUP(D94*README!$B$15,0)</f>
        <v>0</v>
      </c>
    </row>
    <row r="95" spans="1:8" x14ac:dyDescent="0.25">
      <c r="A95" s="10" t="s">
        <v>25</v>
      </c>
      <c r="B95" s="10" t="s">
        <v>49</v>
      </c>
      <c r="C95" s="10">
        <v>0</v>
      </c>
      <c r="D95" s="11">
        <v>0</v>
      </c>
      <c r="E95" s="10"/>
      <c r="F95" s="10"/>
      <c r="G95" s="12">
        <f>ROUNDUP(D95*README!$B$13*(1+README!$B$14),0)</f>
        <v>0</v>
      </c>
      <c r="H95" s="12">
        <f>G95+ROUNDUP(D95*README!$B$15,0)</f>
        <v>0</v>
      </c>
    </row>
    <row r="96" spans="1:8" x14ac:dyDescent="0.25">
      <c r="A96" s="10" t="s">
        <v>25</v>
      </c>
      <c r="B96" s="10" t="s">
        <v>50</v>
      </c>
      <c r="C96" s="10">
        <v>0</v>
      </c>
      <c r="D96" s="11">
        <v>0</v>
      </c>
      <c r="E96" s="10"/>
      <c r="F96" s="10"/>
      <c r="G96" s="12">
        <f>ROUNDUP(D96*README!$B$13*(1+README!$B$14),0)</f>
        <v>0</v>
      </c>
      <c r="H96" s="12">
        <f>G96+ROUNDUP(D96*README!$B$15,0)</f>
        <v>0</v>
      </c>
    </row>
    <row r="97" spans="1:8" x14ac:dyDescent="0.25">
      <c r="A97" s="10" t="s">
        <v>30</v>
      </c>
      <c r="B97" s="10" t="s">
        <v>88</v>
      </c>
      <c r="C97" s="10">
        <v>0</v>
      </c>
      <c r="D97" s="11">
        <v>0</v>
      </c>
      <c r="E97" s="10"/>
      <c r="F97" s="10"/>
      <c r="G97" s="12">
        <f>ROUNDUP(D97*README!$B$13*(1+README!$B$14),0)</f>
        <v>0</v>
      </c>
      <c r="H97" s="12">
        <f>G97+ROUNDUP(D97*README!$B$15,0)</f>
        <v>0</v>
      </c>
    </row>
    <row r="98" spans="1:8" x14ac:dyDescent="0.25">
      <c r="A98" s="10" t="s">
        <v>53</v>
      </c>
      <c r="B98" s="10" t="s">
        <v>54</v>
      </c>
      <c r="C98" s="10">
        <v>0</v>
      </c>
      <c r="D98" s="11">
        <v>0</v>
      </c>
      <c r="E98" s="10"/>
      <c r="F98" s="10"/>
      <c r="G98" s="12">
        <f>ROUNDUP(D98*README!$B$13*(1+README!$B$14),0)</f>
        <v>0</v>
      </c>
      <c r="H98" s="12">
        <f>G98+ROUNDUP(D98*README!$B$15,0)</f>
        <v>0</v>
      </c>
    </row>
    <row r="99" spans="1:8" x14ac:dyDescent="0.25">
      <c r="A99" s="10" t="s">
        <v>95</v>
      </c>
      <c r="B99" s="10" t="s">
        <v>96</v>
      </c>
      <c r="C99" s="10">
        <v>0</v>
      </c>
      <c r="D99" s="11">
        <v>0</v>
      </c>
      <c r="E99" s="10"/>
      <c r="F99" s="10"/>
      <c r="G99" s="12">
        <f>ROUNDUP(D99*README!$B$13*(1+README!$B$14),0)</f>
        <v>0</v>
      </c>
      <c r="H99" s="12">
        <f>G99+ROUNDUP(D99*README!$B$15,0)</f>
        <v>0</v>
      </c>
    </row>
    <row r="100" spans="1:8" x14ac:dyDescent="0.25">
      <c r="A100" s="10" t="s">
        <v>105</v>
      </c>
      <c r="B100" s="10" t="s">
        <v>106</v>
      </c>
      <c r="C100" s="10">
        <v>0</v>
      </c>
      <c r="D100" s="11">
        <v>0</v>
      </c>
      <c r="E100" s="10"/>
      <c r="F100" s="10"/>
      <c r="G100" s="12">
        <f>ROUNDUP(D100*README!$B$13*(1+README!$B$14),0)</f>
        <v>0</v>
      </c>
      <c r="H100" s="12">
        <f>G100+ROUNDUP(D100*README!$B$15,0)</f>
        <v>0</v>
      </c>
    </row>
    <row r="101" spans="1:8" x14ac:dyDescent="0.25">
      <c r="A101" s="10" t="s">
        <v>25</v>
      </c>
      <c r="B101" s="10" t="s">
        <v>107</v>
      </c>
      <c r="C101" s="10">
        <v>0</v>
      </c>
      <c r="D101" s="11">
        <v>0</v>
      </c>
      <c r="E101" s="10"/>
      <c r="F101" s="10"/>
      <c r="G101" s="12">
        <f>ROUNDUP(D101*README!$B$13*(1+README!$B$14),0)</f>
        <v>0</v>
      </c>
      <c r="H101" s="12">
        <f>G101+ROUNDUP(D101*README!$B$15,0)</f>
        <v>0</v>
      </c>
    </row>
  </sheetData>
  <autoFilter ref="A1:H10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2" width="45" customWidth="1"/>
    <col min="3" max="3" width="22" customWidth="1"/>
    <col min="4" max="4" width="16" customWidth="1"/>
    <col min="5" max="7" width="18" customWidth="1"/>
    <col min="8" max="8" width="24" customWidth="1"/>
  </cols>
  <sheetData>
    <row r="1" spans="1:8" ht="30" customHeight="1" x14ac:dyDescent="0.25">
      <c r="A1" s="9" t="s">
        <v>17</v>
      </c>
      <c r="B1" s="9" t="s">
        <v>18</v>
      </c>
      <c r="C1" s="9" t="s">
        <v>19</v>
      </c>
      <c r="D1" s="9" t="s">
        <v>20</v>
      </c>
      <c r="E1" s="9" t="s">
        <v>21</v>
      </c>
      <c r="F1" s="9" t="s">
        <v>22</v>
      </c>
      <c r="G1" s="9" t="s">
        <v>23</v>
      </c>
      <c r="H1" s="9" t="s">
        <v>24</v>
      </c>
    </row>
    <row r="2" spans="1:8" x14ac:dyDescent="0.25">
      <c r="A2" s="10" t="s">
        <v>28</v>
      </c>
      <c r="B2" s="10" t="s">
        <v>29</v>
      </c>
      <c r="C2" s="10">
        <v>41</v>
      </c>
      <c r="D2" s="11">
        <v>0.45600000000000002</v>
      </c>
      <c r="E2" s="10"/>
      <c r="F2" s="10"/>
      <c r="G2" s="12">
        <f>ROUNDUP(D2*README!$B$13*(1+README!$B$14),0)</f>
        <v>4</v>
      </c>
      <c r="H2" s="12">
        <f>G2+ROUNDUP(D2*README!$B$15,0)</f>
        <v>11</v>
      </c>
    </row>
    <row r="3" spans="1:8" x14ac:dyDescent="0.25">
      <c r="A3" s="10" t="s">
        <v>38</v>
      </c>
      <c r="B3" s="10" t="s">
        <v>39</v>
      </c>
      <c r="C3" s="10">
        <v>36</v>
      </c>
      <c r="D3" s="11">
        <v>0.4</v>
      </c>
      <c r="E3" s="10"/>
      <c r="F3" s="10"/>
      <c r="G3" s="12">
        <f>ROUNDUP(D3*README!$B$13*(1+README!$B$14),0)</f>
        <v>4</v>
      </c>
      <c r="H3" s="12">
        <f>G3+ROUNDUP(D3*README!$B$15,0)</f>
        <v>10</v>
      </c>
    </row>
    <row r="4" spans="1:8" x14ac:dyDescent="0.25">
      <c r="A4" s="10" t="s">
        <v>34</v>
      </c>
      <c r="B4" s="10" t="s">
        <v>35</v>
      </c>
      <c r="C4" s="10">
        <v>18</v>
      </c>
      <c r="D4" s="11">
        <v>0.2</v>
      </c>
      <c r="E4" s="10"/>
      <c r="F4" s="10"/>
      <c r="G4" s="12">
        <f>ROUNDUP(D4*README!$B$13*(1+README!$B$14),0)</f>
        <v>2</v>
      </c>
      <c r="H4" s="12">
        <f>G4+ROUNDUP(D4*README!$B$15,0)</f>
        <v>5</v>
      </c>
    </row>
    <row r="5" spans="1:8" x14ac:dyDescent="0.25">
      <c r="A5" s="10" t="s">
        <v>25</v>
      </c>
      <c r="B5" s="10" t="s">
        <v>36</v>
      </c>
      <c r="C5" s="10">
        <v>20</v>
      </c>
      <c r="D5" s="11">
        <v>0.222</v>
      </c>
      <c r="E5" s="10"/>
      <c r="F5" s="10"/>
      <c r="G5" s="12">
        <f>ROUNDUP(D5*README!$B$13*(1+README!$B$14),0)</f>
        <v>2</v>
      </c>
      <c r="H5" s="12">
        <f>G5+ROUNDUP(D5*README!$B$15,0)</f>
        <v>6</v>
      </c>
    </row>
    <row r="6" spans="1:8" x14ac:dyDescent="0.25">
      <c r="A6" s="10" t="s">
        <v>32</v>
      </c>
      <c r="B6" s="10" t="s">
        <v>33</v>
      </c>
      <c r="C6" s="10">
        <v>11</v>
      </c>
      <c r="D6" s="11">
        <v>0.122</v>
      </c>
      <c r="E6" s="10"/>
      <c r="F6" s="10"/>
      <c r="G6" s="12">
        <f>ROUNDUP(D6*README!$B$13*(1+README!$B$14),0)</f>
        <v>2</v>
      </c>
      <c r="H6" s="12">
        <f>G6+ROUNDUP(D6*README!$B$15,0)</f>
        <v>4</v>
      </c>
    </row>
    <row r="7" spans="1:8" x14ac:dyDescent="0.25">
      <c r="A7" s="10" t="s">
        <v>108</v>
      </c>
      <c r="B7" s="10" t="s">
        <v>109</v>
      </c>
      <c r="C7" s="10">
        <v>14</v>
      </c>
      <c r="D7" s="11">
        <v>0.156</v>
      </c>
      <c r="E7" s="10"/>
      <c r="F7" s="10"/>
      <c r="G7" s="12">
        <f>ROUNDUP(D7*README!$B$13*(1+README!$B$14),0)</f>
        <v>2</v>
      </c>
      <c r="H7" s="12">
        <f>G7+ROUNDUP(D7*README!$B$15,0)</f>
        <v>5</v>
      </c>
    </row>
    <row r="8" spans="1:8" x14ac:dyDescent="0.25">
      <c r="A8" s="10" t="s">
        <v>40</v>
      </c>
      <c r="B8" s="10" t="s">
        <v>41</v>
      </c>
      <c r="C8" s="10">
        <v>13</v>
      </c>
      <c r="D8" s="11">
        <v>0.14399999999999999</v>
      </c>
      <c r="E8" s="10"/>
      <c r="F8" s="10"/>
      <c r="G8" s="12">
        <f>ROUNDUP(D8*README!$B$13*(1+README!$B$14),0)</f>
        <v>2</v>
      </c>
      <c r="H8" s="12">
        <f>G8+ROUNDUP(D8*README!$B$15,0)</f>
        <v>5</v>
      </c>
    </row>
    <row r="9" spans="1:8" x14ac:dyDescent="0.25">
      <c r="A9" s="10" t="s">
        <v>105</v>
      </c>
      <c r="B9" s="10" t="s">
        <v>110</v>
      </c>
      <c r="C9" s="10">
        <v>20</v>
      </c>
      <c r="D9" s="11">
        <v>0.222</v>
      </c>
      <c r="E9" s="10"/>
      <c r="F9" s="10"/>
      <c r="G9" s="12">
        <f>ROUNDUP(D9*README!$B$13*(1+README!$B$14),0)</f>
        <v>2</v>
      </c>
      <c r="H9" s="12">
        <f>G9+ROUNDUP(D9*README!$B$15,0)</f>
        <v>6</v>
      </c>
    </row>
    <row r="10" spans="1:8" x14ac:dyDescent="0.25">
      <c r="A10" s="10" t="s">
        <v>42</v>
      </c>
      <c r="B10" s="10" t="s">
        <v>43</v>
      </c>
      <c r="C10" s="10">
        <v>11</v>
      </c>
      <c r="D10" s="11">
        <v>0.122</v>
      </c>
      <c r="E10" s="10"/>
      <c r="F10" s="10"/>
      <c r="G10" s="12">
        <f>ROUNDUP(D10*README!$B$13*(1+README!$B$14),0)</f>
        <v>2</v>
      </c>
      <c r="H10" s="12">
        <f>G10+ROUNDUP(D10*README!$B$15,0)</f>
        <v>4</v>
      </c>
    </row>
    <row r="11" spans="1:8" x14ac:dyDescent="0.25">
      <c r="A11" s="10" t="s">
        <v>187</v>
      </c>
      <c r="B11" s="10" t="s">
        <v>188</v>
      </c>
      <c r="C11" s="10">
        <v>10</v>
      </c>
      <c r="D11" s="11">
        <v>0.111</v>
      </c>
      <c r="E11" s="10"/>
      <c r="F11" s="10"/>
      <c r="G11" s="12">
        <f>ROUNDUP(D11*README!$B$13*(1+README!$B$14),0)</f>
        <v>1</v>
      </c>
      <c r="H11" s="12">
        <f>G11+ROUNDUP(D11*README!$B$15,0)</f>
        <v>3</v>
      </c>
    </row>
    <row r="12" spans="1:8" x14ac:dyDescent="0.25">
      <c r="A12" s="10" t="s">
        <v>57</v>
      </c>
      <c r="B12" s="10" t="s">
        <v>58</v>
      </c>
      <c r="C12" s="10">
        <v>10</v>
      </c>
      <c r="D12" s="11">
        <v>0.111</v>
      </c>
      <c r="E12" s="10"/>
      <c r="F12" s="10"/>
      <c r="G12" s="12">
        <f>ROUNDUP(D12*README!$B$13*(1+README!$B$14),0)</f>
        <v>1</v>
      </c>
      <c r="H12" s="12">
        <f>G12+ROUNDUP(D12*README!$B$15,0)</f>
        <v>3</v>
      </c>
    </row>
    <row r="13" spans="1:8" x14ac:dyDescent="0.25">
      <c r="A13" s="10" t="s">
        <v>47</v>
      </c>
      <c r="B13" s="10" t="s">
        <v>48</v>
      </c>
      <c r="C13" s="10">
        <v>13</v>
      </c>
      <c r="D13" s="11">
        <v>0.14399999999999999</v>
      </c>
      <c r="E13" s="10"/>
      <c r="F13" s="10"/>
      <c r="G13" s="12">
        <f>ROUNDUP(D13*README!$B$13*(1+README!$B$14),0)</f>
        <v>2</v>
      </c>
      <c r="H13" s="12">
        <f>G13+ROUNDUP(D13*README!$B$15,0)</f>
        <v>5</v>
      </c>
    </row>
    <row r="14" spans="1:8" x14ac:dyDescent="0.25">
      <c r="A14" s="10" t="s">
        <v>63</v>
      </c>
      <c r="B14" s="10" t="s">
        <v>63</v>
      </c>
      <c r="C14" s="10">
        <v>10</v>
      </c>
      <c r="D14" s="11">
        <v>0.111</v>
      </c>
      <c r="E14" s="10"/>
      <c r="F14" s="10"/>
      <c r="G14" s="12">
        <f>ROUNDUP(D14*README!$B$13*(1+README!$B$14),0)</f>
        <v>1</v>
      </c>
      <c r="H14" s="12">
        <f>G14+ROUNDUP(D14*README!$B$15,0)</f>
        <v>3</v>
      </c>
    </row>
    <row r="15" spans="1:8" x14ac:dyDescent="0.25">
      <c r="A15" s="10" t="s">
        <v>113</v>
      </c>
      <c r="B15" s="10" t="s">
        <v>114</v>
      </c>
      <c r="C15" s="10">
        <v>11</v>
      </c>
      <c r="D15" s="11">
        <v>0.122</v>
      </c>
      <c r="E15" s="10"/>
      <c r="F15" s="10"/>
      <c r="G15" s="12">
        <f>ROUNDUP(D15*README!$B$13*(1+README!$B$14),0)</f>
        <v>2</v>
      </c>
      <c r="H15" s="12">
        <f>G15+ROUNDUP(D15*README!$B$15,0)</f>
        <v>4</v>
      </c>
    </row>
    <row r="16" spans="1:8" x14ac:dyDescent="0.25">
      <c r="A16" s="10" t="s">
        <v>70</v>
      </c>
      <c r="B16" s="10" t="s">
        <v>71</v>
      </c>
      <c r="C16" s="10">
        <v>12</v>
      </c>
      <c r="D16" s="11">
        <v>0.13300000000000001</v>
      </c>
      <c r="E16" s="10"/>
      <c r="F16" s="10"/>
      <c r="G16" s="12">
        <f>ROUNDUP(D16*README!$B$13*(1+README!$B$14),0)</f>
        <v>2</v>
      </c>
      <c r="H16" s="12">
        <f>G16+ROUNDUP(D16*README!$B$15,0)</f>
        <v>4</v>
      </c>
    </row>
    <row r="17" spans="1:8" x14ac:dyDescent="0.25">
      <c r="A17" s="10" t="s">
        <v>119</v>
      </c>
      <c r="B17" s="10" t="s">
        <v>120</v>
      </c>
      <c r="C17" s="10">
        <v>11</v>
      </c>
      <c r="D17" s="11">
        <v>0.122</v>
      </c>
      <c r="E17" s="10"/>
      <c r="F17" s="10"/>
      <c r="G17" s="12">
        <f>ROUNDUP(D17*README!$B$13*(1+README!$B$14),0)</f>
        <v>2</v>
      </c>
      <c r="H17" s="12">
        <f>G17+ROUNDUP(D17*README!$B$15,0)</f>
        <v>4</v>
      </c>
    </row>
    <row r="18" spans="1:8" x14ac:dyDescent="0.25">
      <c r="A18" s="10" t="s">
        <v>136</v>
      </c>
      <c r="B18" s="10" t="s">
        <v>137</v>
      </c>
      <c r="C18" s="10">
        <v>10</v>
      </c>
      <c r="D18" s="11">
        <v>0.111</v>
      </c>
      <c r="E18" s="10"/>
      <c r="F18" s="10"/>
      <c r="G18" s="12">
        <f>ROUNDUP(D18*README!$B$13*(1+README!$B$14),0)</f>
        <v>1</v>
      </c>
      <c r="H18" s="12">
        <f>G18+ROUNDUP(D18*README!$B$15,0)</f>
        <v>3</v>
      </c>
    </row>
    <row r="19" spans="1:8" x14ac:dyDescent="0.25">
      <c r="A19" s="10" t="s">
        <v>161</v>
      </c>
      <c r="B19" s="10" t="s">
        <v>162</v>
      </c>
      <c r="C19" s="10">
        <v>12</v>
      </c>
      <c r="D19" s="11">
        <v>0.13300000000000001</v>
      </c>
      <c r="E19" s="10"/>
      <c r="F19" s="10"/>
      <c r="G19" s="12">
        <f>ROUNDUP(D19*README!$B$13*(1+README!$B$14),0)</f>
        <v>2</v>
      </c>
      <c r="H19" s="12">
        <f>G19+ROUNDUP(D19*README!$B$15,0)</f>
        <v>4</v>
      </c>
    </row>
    <row r="20" spans="1:8" x14ac:dyDescent="0.25">
      <c r="A20" s="10" t="s">
        <v>30</v>
      </c>
      <c r="B20" s="10" t="s">
        <v>31</v>
      </c>
      <c r="C20" s="10">
        <v>8</v>
      </c>
      <c r="D20" s="11">
        <v>8.8999999999999996E-2</v>
      </c>
      <c r="E20" s="10"/>
      <c r="F20" s="10"/>
      <c r="G20" s="12">
        <f>ROUNDUP(D20*README!$B$13*(1+README!$B$14),0)</f>
        <v>1</v>
      </c>
      <c r="H20" s="12">
        <f>G20+ROUNDUP(D20*README!$B$15,0)</f>
        <v>3</v>
      </c>
    </row>
    <row r="21" spans="1:8" x14ac:dyDescent="0.25">
      <c r="A21" s="10" t="s">
        <v>111</v>
      </c>
      <c r="B21" s="10" t="s">
        <v>112</v>
      </c>
      <c r="C21" s="10">
        <v>7</v>
      </c>
      <c r="D21" s="11">
        <v>7.8E-2</v>
      </c>
      <c r="E21" s="10"/>
      <c r="F21" s="10"/>
      <c r="G21" s="12">
        <f>ROUNDUP(D21*README!$B$13*(1+README!$B$14),0)</f>
        <v>1</v>
      </c>
      <c r="H21" s="12">
        <f>G21+ROUNDUP(D21*README!$B$15,0)</f>
        <v>3</v>
      </c>
    </row>
    <row r="22" spans="1:8" x14ac:dyDescent="0.25">
      <c r="A22" s="10" t="s">
        <v>30</v>
      </c>
      <c r="B22" s="10" t="s">
        <v>44</v>
      </c>
      <c r="C22" s="10">
        <v>5</v>
      </c>
      <c r="D22" s="11">
        <v>5.6000000000000001E-2</v>
      </c>
      <c r="E22" s="10"/>
      <c r="F22" s="10"/>
      <c r="G22" s="12">
        <f>ROUNDUP(D22*README!$B$13*(1+README!$B$14),0)</f>
        <v>1</v>
      </c>
      <c r="H22" s="12">
        <f>G22+ROUNDUP(D22*README!$B$15,0)</f>
        <v>2</v>
      </c>
    </row>
    <row r="23" spans="1:8" x14ac:dyDescent="0.25">
      <c r="A23" s="10" t="s">
        <v>55</v>
      </c>
      <c r="B23" s="10" t="s">
        <v>56</v>
      </c>
      <c r="C23" s="10">
        <v>6</v>
      </c>
      <c r="D23" s="11">
        <v>6.7000000000000004E-2</v>
      </c>
      <c r="E23" s="10"/>
      <c r="F23" s="10"/>
      <c r="G23" s="12">
        <f>ROUNDUP(D23*README!$B$13*(1+README!$B$14),0)</f>
        <v>1</v>
      </c>
      <c r="H23" s="12">
        <f>G23+ROUNDUP(D23*README!$B$15,0)</f>
        <v>2</v>
      </c>
    </row>
    <row r="24" spans="1:8" x14ac:dyDescent="0.25">
      <c r="A24" s="10" t="s">
        <v>45</v>
      </c>
      <c r="B24" s="10" t="s">
        <v>46</v>
      </c>
      <c r="C24" s="10">
        <v>5</v>
      </c>
      <c r="D24" s="11">
        <v>5.6000000000000001E-2</v>
      </c>
      <c r="E24" s="10"/>
      <c r="F24" s="10"/>
      <c r="G24" s="12">
        <f>ROUNDUP(D24*README!$B$13*(1+README!$B$14),0)</f>
        <v>1</v>
      </c>
      <c r="H24" s="12">
        <f>G24+ROUNDUP(D24*README!$B$15,0)</f>
        <v>2</v>
      </c>
    </row>
    <row r="25" spans="1:8" x14ac:dyDescent="0.25">
      <c r="A25" s="10" t="s">
        <v>59</v>
      </c>
      <c r="B25" s="10" t="s">
        <v>60</v>
      </c>
      <c r="C25" s="10">
        <v>2</v>
      </c>
      <c r="D25" s="11">
        <v>2.1999999999999999E-2</v>
      </c>
      <c r="E25" s="10"/>
      <c r="F25" s="10"/>
      <c r="G25" s="12">
        <f>ROUNDUP(D25*README!$B$13*(1+README!$B$14),0)</f>
        <v>1</v>
      </c>
      <c r="H25" s="12">
        <f>G25+ROUNDUP(D25*README!$B$15,0)</f>
        <v>2</v>
      </c>
    </row>
    <row r="26" spans="1:8" x14ac:dyDescent="0.25">
      <c r="A26" s="10" t="s">
        <v>61</v>
      </c>
      <c r="B26" s="10" t="s">
        <v>62</v>
      </c>
      <c r="C26" s="10">
        <v>2</v>
      </c>
      <c r="D26" s="11">
        <v>2.1999999999999999E-2</v>
      </c>
      <c r="E26" s="10"/>
      <c r="F26" s="10"/>
      <c r="G26" s="12">
        <f>ROUNDUP(D26*README!$B$13*(1+README!$B$14),0)</f>
        <v>1</v>
      </c>
      <c r="H26" s="12">
        <f>G26+ROUNDUP(D26*README!$B$15,0)</f>
        <v>2</v>
      </c>
    </row>
    <row r="27" spans="1:8" x14ac:dyDescent="0.25">
      <c r="A27" s="10" t="s">
        <v>64</v>
      </c>
      <c r="B27" s="10" t="s">
        <v>65</v>
      </c>
      <c r="C27" s="10">
        <v>8</v>
      </c>
      <c r="D27" s="11">
        <v>8.8999999999999996E-2</v>
      </c>
      <c r="E27" s="10"/>
      <c r="F27" s="10"/>
      <c r="G27" s="12">
        <f>ROUNDUP(D27*README!$B$13*(1+README!$B$14),0)</f>
        <v>1</v>
      </c>
      <c r="H27" s="12">
        <f>G27+ROUNDUP(D27*README!$B$15,0)</f>
        <v>3</v>
      </c>
    </row>
    <row r="28" spans="1:8" x14ac:dyDescent="0.25">
      <c r="A28" s="10" t="s">
        <v>115</v>
      </c>
      <c r="B28" s="10" t="s">
        <v>116</v>
      </c>
      <c r="C28" s="10">
        <v>6</v>
      </c>
      <c r="D28" s="11">
        <v>6.7000000000000004E-2</v>
      </c>
      <c r="E28" s="10"/>
      <c r="F28" s="10"/>
      <c r="G28" s="12">
        <f>ROUNDUP(D28*README!$B$13*(1+README!$B$14),0)</f>
        <v>1</v>
      </c>
      <c r="H28" s="12">
        <f>G28+ROUNDUP(D28*README!$B$15,0)</f>
        <v>2</v>
      </c>
    </row>
    <row r="29" spans="1:8" x14ac:dyDescent="0.25">
      <c r="A29" s="10" t="s">
        <v>68</v>
      </c>
      <c r="B29" s="10" t="s">
        <v>69</v>
      </c>
      <c r="C29" s="10">
        <v>7</v>
      </c>
      <c r="D29" s="11">
        <v>7.8E-2</v>
      </c>
      <c r="E29" s="10"/>
      <c r="F29" s="10"/>
      <c r="G29" s="12">
        <f>ROUNDUP(D29*README!$B$13*(1+README!$B$14),0)</f>
        <v>1</v>
      </c>
      <c r="H29" s="12">
        <f>G29+ROUNDUP(D29*README!$B$15,0)</f>
        <v>3</v>
      </c>
    </row>
    <row r="30" spans="1:8" x14ac:dyDescent="0.25">
      <c r="A30" s="10" t="s">
        <v>25</v>
      </c>
      <c r="B30" s="10" t="s">
        <v>72</v>
      </c>
      <c r="C30" s="10">
        <v>2</v>
      </c>
      <c r="D30" s="11">
        <v>2.1999999999999999E-2</v>
      </c>
      <c r="E30" s="10"/>
      <c r="F30" s="10"/>
      <c r="G30" s="12">
        <f>ROUNDUP(D30*README!$B$13*(1+README!$B$14),0)</f>
        <v>1</v>
      </c>
      <c r="H30" s="12">
        <f>G30+ROUNDUP(D30*README!$B$15,0)</f>
        <v>2</v>
      </c>
    </row>
    <row r="31" spans="1:8" x14ac:dyDescent="0.25">
      <c r="A31" s="10" t="s">
        <v>117</v>
      </c>
      <c r="B31" s="10" t="s">
        <v>118</v>
      </c>
      <c r="C31" s="10">
        <v>5</v>
      </c>
      <c r="D31" s="11">
        <v>5.6000000000000001E-2</v>
      </c>
      <c r="E31" s="10"/>
      <c r="F31" s="10"/>
      <c r="G31" s="12">
        <f>ROUNDUP(D31*README!$B$13*(1+README!$B$14),0)</f>
        <v>1</v>
      </c>
      <c r="H31" s="12">
        <f>G31+ROUNDUP(D31*README!$B$15,0)</f>
        <v>2</v>
      </c>
    </row>
    <row r="32" spans="1:8" x14ac:dyDescent="0.25">
      <c r="A32" s="10" t="s">
        <v>73</v>
      </c>
      <c r="B32" s="10" t="s">
        <v>74</v>
      </c>
      <c r="C32" s="10">
        <v>5</v>
      </c>
      <c r="D32" s="11">
        <v>5.6000000000000001E-2</v>
      </c>
      <c r="E32" s="10"/>
      <c r="F32" s="10"/>
      <c r="G32" s="12">
        <f>ROUNDUP(D32*README!$B$13*(1+README!$B$14),0)</f>
        <v>1</v>
      </c>
      <c r="H32" s="12">
        <f>G32+ROUNDUP(D32*README!$B$15,0)</f>
        <v>2</v>
      </c>
    </row>
    <row r="33" spans="1:8" x14ac:dyDescent="0.25">
      <c r="A33" s="10" t="s">
        <v>121</v>
      </c>
      <c r="B33" s="10" t="s">
        <v>122</v>
      </c>
      <c r="C33" s="10">
        <v>8</v>
      </c>
      <c r="D33" s="11">
        <v>8.8999999999999996E-2</v>
      </c>
      <c r="E33" s="10"/>
      <c r="F33" s="10"/>
      <c r="G33" s="12">
        <f>ROUNDUP(D33*README!$B$13*(1+README!$B$14),0)</f>
        <v>1</v>
      </c>
      <c r="H33" s="12">
        <f>G33+ROUNDUP(D33*README!$B$15,0)</f>
        <v>3</v>
      </c>
    </row>
    <row r="34" spans="1:8" x14ac:dyDescent="0.25">
      <c r="A34" s="10" t="s">
        <v>75</v>
      </c>
      <c r="B34" s="10" t="s">
        <v>76</v>
      </c>
      <c r="C34" s="10">
        <v>2</v>
      </c>
      <c r="D34" s="11">
        <v>2.1999999999999999E-2</v>
      </c>
      <c r="E34" s="10"/>
      <c r="F34" s="10"/>
      <c r="G34" s="12">
        <f>ROUNDUP(D34*README!$B$13*(1+README!$B$14),0)</f>
        <v>1</v>
      </c>
      <c r="H34" s="12">
        <f>G34+ROUNDUP(D34*README!$B$15,0)</f>
        <v>2</v>
      </c>
    </row>
    <row r="35" spans="1:8" x14ac:dyDescent="0.25">
      <c r="A35" s="10" t="s">
        <v>77</v>
      </c>
      <c r="B35" s="10" t="s">
        <v>78</v>
      </c>
      <c r="C35" s="10">
        <v>8</v>
      </c>
      <c r="D35" s="11">
        <v>8.8999999999999996E-2</v>
      </c>
      <c r="E35" s="10"/>
      <c r="F35" s="10"/>
      <c r="G35" s="12">
        <f>ROUNDUP(D35*README!$B$13*(1+README!$B$14),0)</f>
        <v>1</v>
      </c>
      <c r="H35" s="12">
        <f>G35+ROUNDUP(D35*README!$B$15,0)</f>
        <v>3</v>
      </c>
    </row>
    <row r="36" spans="1:8" x14ac:dyDescent="0.25">
      <c r="A36" s="10" t="s">
        <v>25</v>
      </c>
      <c r="B36" s="10" t="s">
        <v>79</v>
      </c>
      <c r="C36" s="10">
        <v>5</v>
      </c>
      <c r="D36" s="11">
        <v>5.6000000000000001E-2</v>
      </c>
      <c r="E36" s="10"/>
      <c r="F36" s="10"/>
      <c r="G36" s="12">
        <f>ROUNDUP(D36*README!$B$13*(1+README!$B$14),0)</f>
        <v>1</v>
      </c>
      <c r="H36" s="12">
        <f>G36+ROUNDUP(D36*README!$B$15,0)</f>
        <v>2</v>
      </c>
    </row>
    <row r="37" spans="1:8" x14ac:dyDescent="0.25">
      <c r="A37" s="10" t="s">
        <v>80</v>
      </c>
      <c r="B37" s="10" t="s">
        <v>81</v>
      </c>
      <c r="C37" s="10">
        <v>7</v>
      </c>
      <c r="D37" s="11">
        <v>7.8E-2</v>
      </c>
      <c r="E37" s="10"/>
      <c r="F37" s="10"/>
      <c r="G37" s="12">
        <f>ROUNDUP(D37*README!$B$13*(1+README!$B$14),0)</f>
        <v>1</v>
      </c>
      <c r="H37" s="12">
        <f>G37+ROUNDUP(D37*README!$B$15,0)</f>
        <v>3</v>
      </c>
    </row>
    <row r="38" spans="1:8" x14ac:dyDescent="0.25">
      <c r="A38" s="10" t="s">
        <v>25</v>
      </c>
      <c r="B38" s="10" t="s">
        <v>123</v>
      </c>
      <c r="C38" s="10">
        <v>5</v>
      </c>
      <c r="D38" s="11">
        <v>5.6000000000000001E-2</v>
      </c>
      <c r="E38" s="10"/>
      <c r="F38" s="10"/>
      <c r="G38" s="12">
        <f>ROUNDUP(D38*README!$B$13*(1+README!$B$14),0)</f>
        <v>1</v>
      </c>
      <c r="H38" s="12">
        <f>G38+ROUNDUP(D38*README!$B$15,0)</f>
        <v>2</v>
      </c>
    </row>
    <row r="39" spans="1:8" x14ac:dyDescent="0.25">
      <c r="A39" s="10" t="s">
        <v>82</v>
      </c>
      <c r="B39" s="10" t="s">
        <v>83</v>
      </c>
      <c r="C39" s="10">
        <v>6</v>
      </c>
      <c r="D39" s="11">
        <v>6.7000000000000004E-2</v>
      </c>
      <c r="E39" s="10"/>
      <c r="F39" s="10"/>
      <c r="G39" s="12">
        <f>ROUNDUP(D39*README!$B$13*(1+README!$B$14),0)</f>
        <v>1</v>
      </c>
      <c r="H39" s="12">
        <f>G39+ROUNDUP(D39*README!$B$15,0)</f>
        <v>2</v>
      </c>
    </row>
    <row r="40" spans="1:8" x14ac:dyDescent="0.25">
      <c r="A40" s="10" t="s">
        <v>124</v>
      </c>
      <c r="B40" s="10" t="s">
        <v>125</v>
      </c>
      <c r="C40" s="10">
        <v>9</v>
      </c>
      <c r="D40" s="11">
        <v>0.1</v>
      </c>
      <c r="E40" s="10"/>
      <c r="F40" s="10"/>
      <c r="G40" s="12">
        <f>ROUNDUP(D40*README!$B$13*(1+README!$B$14),0)</f>
        <v>1</v>
      </c>
      <c r="H40" s="12">
        <f>G40+ROUNDUP(D40*README!$B$15,0)</f>
        <v>3</v>
      </c>
    </row>
    <row r="41" spans="1:8" x14ac:dyDescent="0.25">
      <c r="A41" s="10" t="s">
        <v>126</v>
      </c>
      <c r="B41" s="10" t="s">
        <v>127</v>
      </c>
      <c r="C41" s="10">
        <v>4</v>
      </c>
      <c r="D41" s="11">
        <v>4.3999999999999997E-2</v>
      </c>
      <c r="E41" s="10"/>
      <c r="F41" s="10"/>
      <c r="G41" s="12">
        <f>ROUNDUP(D41*README!$B$13*(1+README!$B$14),0)</f>
        <v>1</v>
      </c>
      <c r="H41" s="12">
        <f>G41+ROUNDUP(D41*README!$B$15,0)</f>
        <v>2</v>
      </c>
    </row>
    <row r="42" spans="1:8" x14ac:dyDescent="0.25">
      <c r="A42" s="10" t="s">
        <v>30</v>
      </c>
      <c r="B42" s="10" t="s">
        <v>128</v>
      </c>
      <c r="C42" s="10">
        <v>7</v>
      </c>
      <c r="D42" s="11">
        <v>7.8E-2</v>
      </c>
      <c r="E42" s="10"/>
      <c r="F42" s="10"/>
      <c r="G42" s="12">
        <f>ROUNDUP(D42*README!$B$13*(1+README!$B$14),0)</f>
        <v>1</v>
      </c>
      <c r="H42" s="12">
        <f>G42+ROUNDUP(D42*README!$B$15,0)</f>
        <v>3</v>
      </c>
    </row>
    <row r="43" spans="1:8" x14ac:dyDescent="0.25">
      <c r="A43" s="10" t="s">
        <v>129</v>
      </c>
      <c r="B43" s="10" t="s">
        <v>130</v>
      </c>
      <c r="C43" s="10">
        <v>6</v>
      </c>
      <c r="D43" s="11">
        <v>6.7000000000000004E-2</v>
      </c>
      <c r="E43" s="10"/>
      <c r="F43" s="10"/>
      <c r="G43" s="12">
        <f>ROUNDUP(D43*README!$B$13*(1+README!$B$14),0)</f>
        <v>1</v>
      </c>
      <c r="H43" s="12">
        <f>G43+ROUNDUP(D43*README!$B$15,0)</f>
        <v>2</v>
      </c>
    </row>
    <row r="44" spans="1:8" x14ac:dyDescent="0.25">
      <c r="A44" s="10" t="s">
        <v>86</v>
      </c>
      <c r="B44" s="10" t="s">
        <v>87</v>
      </c>
      <c r="C44" s="10">
        <v>4</v>
      </c>
      <c r="D44" s="11">
        <v>4.3999999999999997E-2</v>
      </c>
      <c r="E44" s="10"/>
      <c r="F44" s="10"/>
      <c r="G44" s="12">
        <f>ROUNDUP(D44*README!$B$13*(1+README!$B$14),0)</f>
        <v>1</v>
      </c>
      <c r="H44" s="12">
        <f>G44+ROUNDUP(D44*README!$B$15,0)</f>
        <v>2</v>
      </c>
    </row>
    <row r="45" spans="1:8" x14ac:dyDescent="0.25">
      <c r="A45" s="10" t="s">
        <v>30</v>
      </c>
      <c r="B45" s="10" t="s">
        <v>88</v>
      </c>
      <c r="C45" s="10">
        <v>5</v>
      </c>
      <c r="D45" s="11">
        <v>5.6000000000000001E-2</v>
      </c>
      <c r="E45" s="10"/>
      <c r="F45" s="10"/>
      <c r="G45" s="12">
        <f>ROUNDUP(D45*README!$B$13*(1+README!$B$14),0)</f>
        <v>1</v>
      </c>
      <c r="H45" s="12">
        <f>G45+ROUNDUP(D45*README!$B$15,0)</f>
        <v>2</v>
      </c>
    </row>
    <row r="46" spans="1:8" x14ac:dyDescent="0.25">
      <c r="A46" s="10" t="s">
        <v>89</v>
      </c>
      <c r="B46" s="10" t="s">
        <v>90</v>
      </c>
      <c r="C46" s="10">
        <v>8</v>
      </c>
      <c r="D46" s="11">
        <v>8.8999999999999996E-2</v>
      </c>
      <c r="E46" s="10"/>
      <c r="F46" s="10"/>
      <c r="G46" s="12">
        <f>ROUNDUP(D46*README!$B$13*(1+README!$B$14),0)</f>
        <v>1</v>
      </c>
      <c r="H46" s="12">
        <f>G46+ROUNDUP(D46*README!$B$15,0)</f>
        <v>3</v>
      </c>
    </row>
    <row r="47" spans="1:8" x14ac:dyDescent="0.25">
      <c r="A47" s="10" t="s">
        <v>134</v>
      </c>
      <c r="B47" s="10" t="s">
        <v>135</v>
      </c>
      <c r="C47" s="10">
        <v>5</v>
      </c>
      <c r="D47" s="11">
        <v>5.6000000000000001E-2</v>
      </c>
      <c r="E47" s="10"/>
      <c r="F47" s="10"/>
      <c r="G47" s="12">
        <f>ROUNDUP(D47*README!$B$13*(1+README!$B$14),0)</f>
        <v>1</v>
      </c>
      <c r="H47" s="12">
        <f>G47+ROUNDUP(D47*README!$B$15,0)</f>
        <v>2</v>
      </c>
    </row>
    <row r="48" spans="1:8" x14ac:dyDescent="0.25">
      <c r="A48" s="10" t="s">
        <v>64</v>
      </c>
      <c r="B48" s="10" t="s">
        <v>138</v>
      </c>
      <c r="C48" s="10">
        <v>7</v>
      </c>
      <c r="D48" s="11">
        <v>7.8E-2</v>
      </c>
      <c r="E48" s="10"/>
      <c r="F48" s="10"/>
      <c r="G48" s="12">
        <f>ROUNDUP(D48*README!$B$13*(1+README!$B$14),0)</f>
        <v>1</v>
      </c>
      <c r="H48" s="12">
        <f>G48+ROUNDUP(D48*README!$B$15,0)</f>
        <v>3</v>
      </c>
    </row>
    <row r="49" spans="1:8" x14ac:dyDescent="0.25">
      <c r="A49" s="10" t="s">
        <v>139</v>
      </c>
      <c r="B49" s="10" t="s">
        <v>140</v>
      </c>
      <c r="C49" s="10">
        <v>7</v>
      </c>
      <c r="D49" s="11">
        <v>7.8E-2</v>
      </c>
      <c r="E49" s="10"/>
      <c r="F49" s="10"/>
      <c r="G49" s="12">
        <f>ROUNDUP(D49*README!$B$13*(1+README!$B$14),0)</f>
        <v>1</v>
      </c>
      <c r="H49" s="12">
        <f>G49+ROUNDUP(D49*README!$B$15,0)</f>
        <v>3</v>
      </c>
    </row>
    <row r="50" spans="1:8" x14ac:dyDescent="0.25">
      <c r="A50" s="10" t="s">
        <v>141</v>
      </c>
      <c r="B50" s="10" t="s">
        <v>142</v>
      </c>
      <c r="C50" s="10">
        <v>7</v>
      </c>
      <c r="D50" s="11">
        <v>7.8E-2</v>
      </c>
      <c r="E50" s="10"/>
      <c r="F50" s="10"/>
      <c r="G50" s="12">
        <f>ROUNDUP(D50*README!$B$13*(1+README!$B$14),0)</f>
        <v>1</v>
      </c>
      <c r="H50" s="12">
        <f>G50+ROUNDUP(D50*README!$B$15,0)</f>
        <v>3</v>
      </c>
    </row>
    <row r="51" spans="1:8" x14ac:dyDescent="0.25">
      <c r="A51" s="10" t="s">
        <v>93</v>
      </c>
      <c r="B51" s="10" t="s">
        <v>94</v>
      </c>
      <c r="C51" s="10">
        <v>7</v>
      </c>
      <c r="D51" s="11">
        <v>7.8E-2</v>
      </c>
      <c r="E51" s="10"/>
      <c r="F51" s="10"/>
      <c r="G51" s="12">
        <f>ROUNDUP(D51*README!$B$13*(1+README!$B$14),0)</f>
        <v>1</v>
      </c>
      <c r="H51" s="12">
        <f>G51+ROUNDUP(D51*README!$B$15,0)</f>
        <v>3</v>
      </c>
    </row>
    <row r="52" spans="1:8" x14ac:dyDescent="0.25">
      <c r="A52" s="10" t="s">
        <v>97</v>
      </c>
      <c r="B52" s="10" t="s">
        <v>98</v>
      </c>
      <c r="C52" s="10">
        <v>4</v>
      </c>
      <c r="D52" s="11">
        <v>4.3999999999999997E-2</v>
      </c>
      <c r="E52" s="10"/>
      <c r="F52" s="10"/>
      <c r="G52" s="12">
        <f>ROUNDUP(D52*README!$B$13*(1+README!$B$14),0)</f>
        <v>1</v>
      </c>
      <c r="H52" s="12">
        <f>G52+ROUNDUP(D52*README!$B$15,0)</f>
        <v>2</v>
      </c>
    </row>
    <row r="53" spans="1:8" x14ac:dyDescent="0.25">
      <c r="A53" s="10" t="s">
        <v>25</v>
      </c>
      <c r="B53" s="10" t="s">
        <v>143</v>
      </c>
      <c r="C53" s="10">
        <v>3</v>
      </c>
      <c r="D53" s="11">
        <v>3.3000000000000002E-2</v>
      </c>
      <c r="E53" s="10"/>
      <c r="F53" s="10"/>
      <c r="G53" s="12">
        <f>ROUNDUP(D53*README!$B$13*(1+README!$B$14),0)</f>
        <v>1</v>
      </c>
      <c r="H53" s="12">
        <f>G53+ROUNDUP(D53*README!$B$15,0)</f>
        <v>2</v>
      </c>
    </row>
    <row r="54" spans="1:8" x14ac:dyDescent="0.25">
      <c r="A54" s="10" t="s">
        <v>144</v>
      </c>
      <c r="B54" s="10" t="s">
        <v>145</v>
      </c>
      <c r="C54" s="10">
        <v>1</v>
      </c>
      <c r="D54" s="11">
        <v>1.0999999999999999E-2</v>
      </c>
      <c r="E54" s="10"/>
      <c r="F54" s="10"/>
      <c r="G54" s="12">
        <f>ROUNDUP(D54*README!$B$13*(1+README!$B$14),0)</f>
        <v>1</v>
      </c>
      <c r="H54" s="12">
        <f>G54+ROUNDUP(D54*README!$B$15,0)</f>
        <v>2</v>
      </c>
    </row>
    <row r="55" spans="1:8" x14ac:dyDescent="0.25">
      <c r="A55" s="10" t="s">
        <v>25</v>
      </c>
      <c r="B55" s="10" t="s">
        <v>190</v>
      </c>
      <c r="C55" s="10">
        <v>1</v>
      </c>
      <c r="D55" s="11">
        <v>1.0999999999999999E-2</v>
      </c>
      <c r="E55" s="10"/>
      <c r="F55" s="10"/>
      <c r="G55" s="12">
        <f>ROUNDUP(D55*README!$B$13*(1+README!$B$14),0)</f>
        <v>1</v>
      </c>
      <c r="H55" s="12">
        <f>G55+ROUNDUP(D55*README!$B$15,0)</f>
        <v>2</v>
      </c>
    </row>
    <row r="56" spans="1:8" x14ac:dyDescent="0.25">
      <c r="A56" s="10" t="s">
        <v>101</v>
      </c>
      <c r="B56" s="10" t="s">
        <v>102</v>
      </c>
      <c r="C56" s="10">
        <v>1</v>
      </c>
      <c r="D56" s="11">
        <v>1.0999999999999999E-2</v>
      </c>
      <c r="E56" s="10"/>
      <c r="F56" s="10"/>
      <c r="G56" s="12">
        <f>ROUNDUP(D56*README!$B$13*(1+README!$B$14),0)</f>
        <v>1</v>
      </c>
      <c r="H56" s="12">
        <f>G56+ROUNDUP(D56*README!$B$15,0)</f>
        <v>2</v>
      </c>
    </row>
    <row r="57" spans="1:8" x14ac:dyDescent="0.25">
      <c r="A57" s="10" t="s">
        <v>105</v>
      </c>
      <c r="B57" s="10" t="s">
        <v>106</v>
      </c>
      <c r="C57" s="10">
        <v>3</v>
      </c>
      <c r="D57" s="11">
        <v>3.3000000000000002E-2</v>
      </c>
      <c r="E57" s="10"/>
      <c r="F57" s="10"/>
      <c r="G57" s="12">
        <f>ROUNDUP(D57*README!$B$13*(1+README!$B$14),0)</f>
        <v>1</v>
      </c>
      <c r="H57" s="12">
        <f>G57+ROUNDUP(D57*README!$B$15,0)</f>
        <v>2</v>
      </c>
    </row>
    <row r="58" spans="1:8" x14ac:dyDescent="0.25">
      <c r="A58" s="10" t="s">
        <v>147</v>
      </c>
      <c r="B58" s="10" t="s">
        <v>148</v>
      </c>
      <c r="C58" s="10">
        <v>5</v>
      </c>
      <c r="D58" s="11">
        <v>5.6000000000000001E-2</v>
      </c>
      <c r="E58" s="10"/>
      <c r="F58" s="10"/>
      <c r="G58" s="12">
        <f>ROUNDUP(D58*README!$B$13*(1+README!$B$14),0)</f>
        <v>1</v>
      </c>
      <c r="H58" s="12">
        <f>G58+ROUNDUP(D58*README!$B$15,0)</f>
        <v>2</v>
      </c>
    </row>
    <row r="59" spans="1:8" x14ac:dyDescent="0.25">
      <c r="A59" s="10" t="s">
        <v>149</v>
      </c>
      <c r="B59" s="10" t="s">
        <v>150</v>
      </c>
      <c r="C59" s="10">
        <v>8</v>
      </c>
      <c r="D59" s="11">
        <v>8.8999999999999996E-2</v>
      </c>
      <c r="E59" s="10"/>
      <c r="F59" s="10"/>
      <c r="G59" s="12">
        <f>ROUNDUP(D59*README!$B$13*(1+README!$B$14),0)</f>
        <v>1</v>
      </c>
      <c r="H59" s="12">
        <f>G59+ROUNDUP(D59*README!$B$15,0)</f>
        <v>3</v>
      </c>
    </row>
    <row r="60" spans="1:8" x14ac:dyDescent="0.25">
      <c r="A60" s="10" t="s">
        <v>151</v>
      </c>
      <c r="B60" s="10" t="s">
        <v>152</v>
      </c>
      <c r="C60" s="10">
        <v>6</v>
      </c>
      <c r="D60" s="11">
        <v>6.7000000000000004E-2</v>
      </c>
      <c r="E60" s="10"/>
      <c r="F60" s="10"/>
      <c r="G60" s="12">
        <f>ROUNDUP(D60*README!$B$13*(1+README!$B$14),0)</f>
        <v>1</v>
      </c>
      <c r="H60" s="12">
        <f>G60+ROUNDUP(D60*README!$B$15,0)</f>
        <v>2</v>
      </c>
    </row>
    <row r="61" spans="1:8" x14ac:dyDescent="0.25">
      <c r="A61" s="10" t="s">
        <v>153</v>
      </c>
      <c r="B61" s="10" t="s">
        <v>154</v>
      </c>
      <c r="C61" s="10">
        <v>2</v>
      </c>
      <c r="D61" s="11">
        <v>2.1999999999999999E-2</v>
      </c>
      <c r="E61" s="10"/>
      <c r="F61" s="10"/>
      <c r="G61" s="12">
        <f>ROUNDUP(D61*README!$B$13*(1+README!$B$14),0)</f>
        <v>1</v>
      </c>
      <c r="H61" s="12">
        <f>G61+ROUNDUP(D61*README!$B$15,0)</f>
        <v>2</v>
      </c>
    </row>
    <row r="62" spans="1:8" x14ac:dyDescent="0.25">
      <c r="A62" s="10" t="s">
        <v>157</v>
      </c>
      <c r="B62" s="10" t="s">
        <v>158</v>
      </c>
      <c r="C62" s="10">
        <v>5</v>
      </c>
      <c r="D62" s="11">
        <v>5.6000000000000001E-2</v>
      </c>
      <c r="E62" s="10"/>
      <c r="F62" s="10"/>
      <c r="G62" s="12">
        <f>ROUNDUP(D62*README!$B$13*(1+README!$B$14),0)</f>
        <v>1</v>
      </c>
      <c r="H62" s="12">
        <f>G62+ROUNDUP(D62*README!$B$15,0)</f>
        <v>2</v>
      </c>
    </row>
    <row r="63" spans="1:8" x14ac:dyDescent="0.25">
      <c r="A63" s="10" t="s">
        <v>163</v>
      </c>
      <c r="B63" s="10" t="s">
        <v>164</v>
      </c>
      <c r="C63" s="10">
        <v>4</v>
      </c>
      <c r="D63" s="11">
        <v>4.3999999999999997E-2</v>
      </c>
      <c r="E63" s="10"/>
      <c r="F63" s="10"/>
      <c r="G63" s="12">
        <f>ROUNDUP(D63*README!$B$13*(1+README!$B$14),0)</f>
        <v>1</v>
      </c>
      <c r="H63" s="12">
        <f>G63+ROUNDUP(D63*README!$B$15,0)</f>
        <v>2</v>
      </c>
    </row>
    <row r="64" spans="1:8" x14ac:dyDescent="0.25">
      <c r="A64" s="10" t="s">
        <v>191</v>
      </c>
      <c r="B64" s="10" t="s">
        <v>192</v>
      </c>
      <c r="C64" s="10">
        <v>8</v>
      </c>
      <c r="D64" s="11">
        <v>8.8999999999999996E-2</v>
      </c>
      <c r="E64" s="10"/>
      <c r="F64" s="10"/>
      <c r="G64" s="12">
        <f>ROUNDUP(D64*README!$B$13*(1+README!$B$14),0)</f>
        <v>1</v>
      </c>
      <c r="H64" s="12">
        <f>G64+ROUNDUP(D64*README!$B$15,0)</f>
        <v>3</v>
      </c>
    </row>
    <row r="65" spans="1:8" x14ac:dyDescent="0.25">
      <c r="A65" s="10" t="s">
        <v>64</v>
      </c>
      <c r="B65" s="10" t="s">
        <v>165</v>
      </c>
      <c r="C65" s="10">
        <v>1</v>
      </c>
      <c r="D65" s="11">
        <v>1.0999999999999999E-2</v>
      </c>
      <c r="E65" s="10"/>
      <c r="F65" s="10"/>
      <c r="G65" s="12">
        <f>ROUNDUP(D65*README!$B$13*(1+README!$B$14),0)</f>
        <v>1</v>
      </c>
      <c r="H65" s="12">
        <f>G65+ROUNDUP(D65*README!$B$15,0)</f>
        <v>2</v>
      </c>
    </row>
    <row r="66" spans="1:8" x14ac:dyDescent="0.25">
      <c r="A66" s="10" t="s">
        <v>25</v>
      </c>
      <c r="B66" s="10" t="s">
        <v>170</v>
      </c>
      <c r="C66" s="10">
        <v>4</v>
      </c>
      <c r="D66" s="11">
        <v>4.3999999999999997E-2</v>
      </c>
      <c r="E66" s="10"/>
      <c r="F66" s="10"/>
      <c r="G66" s="12">
        <f>ROUNDUP(D66*README!$B$13*(1+README!$B$14),0)</f>
        <v>1</v>
      </c>
      <c r="H66" s="12">
        <f>G66+ROUNDUP(D66*README!$B$15,0)</f>
        <v>2</v>
      </c>
    </row>
    <row r="67" spans="1:8" x14ac:dyDescent="0.25">
      <c r="A67" s="10" t="s">
        <v>25</v>
      </c>
      <c r="B67" s="10" t="s">
        <v>171</v>
      </c>
      <c r="C67" s="10">
        <v>3</v>
      </c>
      <c r="D67" s="11">
        <v>3.3000000000000002E-2</v>
      </c>
      <c r="E67" s="10"/>
      <c r="F67" s="10"/>
      <c r="G67" s="12">
        <f>ROUNDUP(D67*README!$B$13*(1+README!$B$14),0)</f>
        <v>1</v>
      </c>
      <c r="H67" s="12">
        <f>G67+ROUNDUP(D67*README!$B$15,0)</f>
        <v>2</v>
      </c>
    </row>
    <row r="68" spans="1:8" x14ac:dyDescent="0.25">
      <c r="A68" s="10" t="s">
        <v>172</v>
      </c>
      <c r="B68" s="10" t="s">
        <v>173</v>
      </c>
      <c r="C68" s="10">
        <v>1</v>
      </c>
      <c r="D68" s="11">
        <v>1.0999999999999999E-2</v>
      </c>
      <c r="E68" s="10"/>
      <c r="F68" s="10"/>
      <c r="G68" s="12">
        <f>ROUNDUP(D68*README!$B$13*(1+README!$B$14),0)</f>
        <v>1</v>
      </c>
      <c r="H68" s="12">
        <f>G68+ROUNDUP(D68*README!$B$15,0)</f>
        <v>2</v>
      </c>
    </row>
    <row r="69" spans="1:8" x14ac:dyDescent="0.25">
      <c r="A69" s="10" t="s">
        <v>61</v>
      </c>
      <c r="B69" s="10" t="s">
        <v>174</v>
      </c>
      <c r="C69" s="10">
        <v>1</v>
      </c>
      <c r="D69" s="11">
        <v>1.0999999999999999E-2</v>
      </c>
      <c r="E69" s="10"/>
      <c r="F69" s="10"/>
      <c r="G69" s="12">
        <f>ROUNDUP(D69*README!$B$13*(1+README!$B$14),0)</f>
        <v>1</v>
      </c>
      <c r="H69" s="12">
        <f>G69+ROUNDUP(D69*README!$B$15,0)</f>
        <v>2</v>
      </c>
    </row>
    <row r="70" spans="1:8" x14ac:dyDescent="0.25">
      <c r="A70" s="10" t="s">
        <v>30</v>
      </c>
      <c r="B70" s="10" t="s">
        <v>193</v>
      </c>
      <c r="C70" s="10">
        <v>3</v>
      </c>
      <c r="D70" s="11">
        <v>3.3000000000000002E-2</v>
      </c>
      <c r="E70" s="10"/>
      <c r="F70" s="10"/>
      <c r="G70" s="12">
        <f>ROUNDUP(D70*README!$B$13*(1+README!$B$14),0)</f>
        <v>1</v>
      </c>
      <c r="H70" s="12">
        <f>G70+ROUNDUP(D70*README!$B$15,0)</f>
        <v>2</v>
      </c>
    </row>
    <row r="71" spans="1:8" x14ac:dyDescent="0.25">
      <c r="A71" s="10" t="s">
        <v>175</v>
      </c>
      <c r="B71" s="10" t="s">
        <v>176</v>
      </c>
      <c r="C71" s="10">
        <v>6</v>
      </c>
      <c r="D71" s="11">
        <v>6.7000000000000004E-2</v>
      </c>
      <c r="E71" s="10"/>
      <c r="F71" s="10"/>
      <c r="G71" s="12">
        <f>ROUNDUP(D71*README!$B$13*(1+README!$B$14),0)</f>
        <v>1</v>
      </c>
      <c r="H71" s="12">
        <f>G71+ROUNDUP(D71*README!$B$15,0)</f>
        <v>2</v>
      </c>
    </row>
    <row r="72" spans="1:8" x14ac:dyDescent="0.25">
      <c r="A72" s="10" t="s">
        <v>183</v>
      </c>
      <c r="B72" s="10" t="s">
        <v>184</v>
      </c>
      <c r="C72" s="10">
        <v>4</v>
      </c>
      <c r="D72" s="11">
        <v>4.3999999999999997E-2</v>
      </c>
      <c r="E72" s="10"/>
      <c r="F72" s="10"/>
      <c r="G72" s="12">
        <f>ROUNDUP(D72*README!$B$13*(1+README!$B$14),0)</f>
        <v>1</v>
      </c>
      <c r="H72" s="12">
        <f>G72+ROUNDUP(D72*README!$B$15,0)</f>
        <v>2</v>
      </c>
    </row>
    <row r="73" spans="1:8" x14ac:dyDescent="0.25">
      <c r="A73" s="10" t="s">
        <v>185</v>
      </c>
      <c r="B73" s="10" t="s">
        <v>186</v>
      </c>
      <c r="C73" s="10">
        <v>3</v>
      </c>
      <c r="D73" s="11">
        <v>3.3000000000000002E-2</v>
      </c>
      <c r="E73" s="10"/>
      <c r="F73" s="10"/>
      <c r="G73" s="12">
        <f>ROUNDUP(D73*README!$B$13*(1+README!$B$14),0)</f>
        <v>1</v>
      </c>
      <c r="H73" s="12">
        <f>G73+ROUNDUP(D73*README!$B$15,0)</f>
        <v>2</v>
      </c>
    </row>
    <row r="74" spans="1:8" x14ac:dyDescent="0.25">
      <c r="A74" s="10" t="s">
        <v>25</v>
      </c>
      <c r="B74" s="10" t="s">
        <v>26</v>
      </c>
      <c r="C74" s="10">
        <v>0</v>
      </c>
      <c r="D74" s="11">
        <v>0</v>
      </c>
      <c r="E74" s="10"/>
      <c r="F74" s="10"/>
      <c r="G74" s="12">
        <f>ROUNDUP(D74*README!$B$13*(1+README!$B$14),0)</f>
        <v>0</v>
      </c>
      <c r="H74" s="12">
        <f>G74+ROUNDUP(D74*README!$B$15,0)</f>
        <v>0</v>
      </c>
    </row>
    <row r="75" spans="1:8" x14ac:dyDescent="0.25">
      <c r="A75" s="10" t="s">
        <v>25</v>
      </c>
      <c r="B75" s="10" t="s">
        <v>27</v>
      </c>
      <c r="C75" s="10">
        <v>0</v>
      </c>
      <c r="D75" s="11">
        <v>0</v>
      </c>
      <c r="E75" s="10"/>
      <c r="F75" s="10"/>
      <c r="G75" s="12">
        <f>ROUNDUP(D75*README!$B$13*(1+README!$B$14),0)</f>
        <v>0</v>
      </c>
      <c r="H75" s="12">
        <f>G75+ROUNDUP(D75*README!$B$15,0)</f>
        <v>0</v>
      </c>
    </row>
    <row r="76" spans="1:8" x14ac:dyDescent="0.25">
      <c r="A76" s="10" t="s">
        <v>66</v>
      </c>
      <c r="B76" s="10" t="s">
        <v>67</v>
      </c>
      <c r="C76" s="10">
        <v>0</v>
      </c>
      <c r="D76" s="11">
        <v>0</v>
      </c>
      <c r="E76" s="10"/>
      <c r="F76" s="10"/>
      <c r="G76" s="12">
        <f>ROUNDUP(D76*README!$B$13*(1+README!$B$14),0)</f>
        <v>0</v>
      </c>
      <c r="H76" s="12">
        <f>G76+ROUNDUP(D76*README!$B$15,0)</f>
        <v>0</v>
      </c>
    </row>
    <row r="77" spans="1:8" x14ac:dyDescent="0.25">
      <c r="A77" s="10" t="s">
        <v>25</v>
      </c>
      <c r="B77" s="10" t="s">
        <v>37</v>
      </c>
      <c r="C77" s="10">
        <v>0</v>
      </c>
      <c r="D77" s="11">
        <v>0</v>
      </c>
      <c r="E77" s="10"/>
      <c r="F77" s="10"/>
      <c r="G77" s="12">
        <f>ROUNDUP(D77*README!$B$13*(1+README!$B$14),0)</f>
        <v>0</v>
      </c>
      <c r="H77" s="12">
        <f>G77+ROUNDUP(D77*README!$B$15,0)</f>
        <v>0</v>
      </c>
    </row>
    <row r="78" spans="1:8" x14ac:dyDescent="0.25">
      <c r="A78" s="10" t="s">
        <v>25</v>
      </c>
      <c r="B78" s="10" t="s">
        <v>49</v>
      </c>
      <c r="C78" s="10">
        <v>0</v>
      </c>
      <c r="D78" s="11">
        <v>0</v>
      </c>
      <c r="E78" s="10"/>
      <c r="F78" s="10"/>
      <c r="G78" s="12">
        <f>ROUNDUP(D78*README!$B$13*(1+README!$B$14),0)</f>
        <v>0</v>
      </c>
      <c r="H78" s="12">
        <f>G78+ROUNDUP(D78*README!$B$15,0)</f>
        <v>0</v>
      </c>
    </row>
    <row r="79" spans="1:8" x14ac:dyDescent="0.25">
      <c r="A79" s="10" t="s">
        <v>25</v>
      </c>
      <c r="B79" s="10" t="s">
        <v>189</v>
      </c>
      <c r="C79" s="10">
        <v>0</v>
      </c>
      <c r="D79" s="11">
        <v>0</v>
      </c>
      <c r="E79" s="10"/>
      <c r="F79" s="10"/>
      <c r="G79" s="12">
        <f>ROUNDUP(D79*README!$B$13*(1+README!$B$14),0)</f>
        <v>0</v>
      </c>
      <c r="H79" s="12">
        <f>G79+ROUNDUP(D79*README!$B$15,0)</f>
        <v>0</v>
      </c>
    </row>
    <row r="80" spans="1:8" x14ac:dyDescent="0.25">
      <c r="A80" s="10" t="s">
        <v>25</v>
      </c>
      <c r="B80" s="10" t="s">
        <v>50</v>
      </c>
      <c r="C80" s="10">
        <v>0</v>
      </c>
      <c r="D80" s="11">
        <v>0</v>
      </c>
      <c r="E80" s="10"/>
      <c r="F80" s="10"/>
      <c r="G80" s="12">
        <f>ROUNDUP(D80*README!$B$13*(1+README!$B$14),0)</f>
        <v>0</v>
      </c>
      <c r="H80" s="12">
        <f>G80+ROUNDUP(D80*README!$B$15,0)</f>
        <v>0</v>
      </c>
    </row>
    <row r="81" spans="1:8" x14ac:dyDescent="0.25">
      <c r="A81" s="10" t="s">
        <v>84</v>
      </c>
      <c r="B81" s="10" t="s">
        <v>85</v>
      </c>
      <c r="C81" s="10">
        <v>0</v>
      </c>
      <c r="D81" s="11">
        <v>0</v>
      </c>
      <c r="E81" s="10"/>
      <c r="F81" s="10"/>
      <c r="G81" s="12">
        <f>ROUNDUP(D81*README!$B$13*(1+README!$B$14),0)</f>
        <v>0</v>
      </c>
      <c r="H81" s="12">
        <f>G81+ROUNDUP(D81*README!$B$15,0)</f>
        <v>0</v>
      </c>
    </row>
    <row r="82" spans="1:8" x14ac:dyDescent="0.25">
      <c r="A82" s="10" t="s">
        <v>131</v>
      </c>
      <c r="B82" s="10" t="s">
        <v>132</v>
      </c>
      <c r="C82" s="10">
        <v>0</v>
      </c>
      <c r="D82" s="11">
        <v>0</v>
      </c>
      <c r="E82" s="10"/>
      <c r="F82" s="10"/>
      <c r="G82" s="12">
        <f>ROUNDUP(D82*README!$B$13*(1+README!$B$14),0)</f>
        <v>0</v>
      </c>
      <c r="H82" s="12">
        <f>G82+ROUNDUP(D82*README!$B$15,0)</f>
        <v>0</v>
      </c>
    </row>
    <row r="83" spans="1:8" x14ac:dyDescent="0.25">
      <c r="A83" s="10" t="s">
        <v>51</v>
      </c>
      <c r="B83" s="10" t="s">
        <v>52</v>
      </c>
      <c r="C83" s="10">
        <v>0</v>
      </c>
      <c r="D83" s="11">
        <v>0</v>
      </c>
      <c r="E83" s="10"/>
      <c r="F83" s="10"/>
      <c r="G83" s="12">
        <f>ROUNDUP(D83*README!$B$13*(1+README!$B$14),0)</f>
        <v>0</v>
      </c>
      <c r="H83" s="12">
        <f>G83+ROUNDUP(D83*README!$B$15,0)</f>
        <v>0</v>
      </c>
    </row>
    <row r="84" spans="1:8" x14ac:dyDescent="0.25">
      <c r="A84" s="10" t="s">
        <v>25</v>
      </c>
      <c r="B84" s="10" t="s">
        <v>133</v>
      </c>
      <c r="C84" s="10">
        <v>0</v>
      </c>
      <c r="D84" s="11">
        <v>0</v>
      </c>
      <c r="E84" s="10"/>
      <c r="F84" s="10"/>
      <c r="G84" s="12">
        <f>ROUNDUP(D84*README!$B$13*(1+README!$B$14),0)</f>
        <v>0</v>
      </c>
      <c r="H84" s="12">
        <f>G84+ROUNDUP(D84*README!$B$15,0)</f>
        <v>0</v>
      </c>
    </row>
    <row r="85" spans="1:8" x14ac:dyDescent="0.25">
      <c r="A85" s="10" t="s">
        <v>53</v>
      </c>
      <c r="B85" s="10" t="s">
        <v>54</v>
      </c>
      <c r="C85" s="10">
        <v>0</v>
      </c>
      <c r="D85" s="11">
        <v>0</v>
      </c>
      <c r="E85" s="10"/>
      <c r="F85" s="10"/>
      <c r="G85" s="12">
        <f>ROUNDUP(D85*README!$B$13*(1+README!$B$14),0)</f>
        <v>0</v>
      </c>
      <c r="H85" s="12">
        <f>G85+ROUNDUP(D85*README!$B$15,0)</f>
        <v>0</v>
      </c>
    </row>
    <row r="86" spans="1:8" x14ac:dyDescent="0.25">
      <c r="A86" s="10" t="s">
        <v>91</v>
      </c>
      <c r="B86" s="10" t="s">
        <v>92</v>
      </c>
      <c r="C86" s="10">
        <v>0</v>
      </c>
      <c r="D86" s="11">
        <v>0</v>
      </c>
      <c r="E86" s="10"/>
      <c r="F86" s="10"/>
      <c r="G86" s="12">
        <f>ROUNDUP(D86*README!$B$13*(1+README!$B$14),0)</f>
        <v>0</v>
      </c>
      <c r="H86" s="12">
        <f>G86+ROUNDUP(D86*README!$B$15,0)</f>
        <v>0</v>
      </c>
    </row>
    <row r="87" spans="1:8" x14ac:dyDescent="0.25">
      <c r="A87" s="10" t="s">
        <v>95</v>
      </c>
      <c r="B87" s="10" t="s">
        <v>96</v>
      </c>
      <c r="C87" s="10">
        <v>0</v>
      </c>
      <c r="D87" s="11">
        <v>0</v>
      </c>
      <c r="E87" s="10"/>
      <c r="F87" s="10"/>
      <c r="G87" s="12">
        <f>ROUNDUP(D87*README!$B$13*(1+README!$B$14),0)</f>
        <v>0</v>
      </c>
      <c r="H87" s="12">
        <f>G87+ROUNDUP(D87*README!$B$15,0)</f>
        <v>0</v>
      </c>
    </row>
    <row r="88" spans="1:8" x14ac:dyDescent="0.25">
      <c r="A88" s="10" t="s">
        <v>99</v>
      </c>
      <c r="B88" s="10" t="s">
        <v>100</v>
      </c>
      <c r="C88" s="10">
        <v>0</v>
      </c>
      <c r="D88" s="11">
        <v>0</v>
      </c>
      <c r="E88" s="10"/>
      <c r="F88" s="10"/>
      <c r="G88" s="12">
        <f>ROUNDUP(D88*README!$B$13*(1+README!$B$14),0)</f>
        <v>0</v>
      </c>
      <c r="H88" s="12">
        <f>G88+ROUNDUP(D88*README!$B$15,0)</f>
        <v>0</v>
      </c>
    </row>
    <row r="89" spans="1:8" x14ac:dyDescent="0.25">
      <c r="A89" s="10" t="s">
        <v>25</v>
      </c>
      <c r="B89" s="10" t="s">
        <v>146</v>
      </c>
      <c r="C89" s="10">
        <v>0</v>
      </c>
      <c r="D89" s="11">
        <v>0</v>
      </c>
      <c r="E89" s="10"/>
      <c r="F89" s="10"/>
      <c r="G89" s="12">
        <f>ROUNDUP(D89*README!$B$13*(1+README!$B$14),0)</f>
        <v>0</v>
      </c>
      <c r="H89" s="12">
        <f>G89+ROUNDUP(D89*README!$B$15,0)</f>
        <v>0</v>
      </c>
    </row>
    <row r="90" spans="1:8" x14ac:dyDescent="0.25">
      <c r="A90" s="10" t="s">
        <v>103</v>
      </c>
      <c r="B90" s="10" t="s">
        <v>104</v>
      </c>
      <c r="C90" s="10">
        <v>0</v>
      </c>
      <c r="D90" s="11">
        <v>0</v>
      </c>
      <c r="E90" s="10"/>
      <c r="F90" s="10"/>
      <c r="G90" s="12">
        <f>ROUNDUP(D90*README!$B$13*(1+README!$B$14),0)</f>
        <v>0</v>
      </c>
      <c r="H90" s="12">
        <f>G90+ROUNDUP(D90*README!$B$15,0)</f>
        <v>0</v>
      </c>
    </row>
    <row r="91" spans="1:8" x14ac:dyDescent="0.25">
      <c r="A91" s="10" t="s">
        <v>155</v>
      </c>
      <c r="B91" s="10" t="s">
        <v>156</v>
      </c>
      <c r="C91" s="10">
        <v>0</v>
      </c>
      <c r="D91" s="11">
        <v>0</v>
      </c>
      <c r="E91" s="10"/>
      <c r="F91" s="10"/>
      <c r="G91" s="12">
        <f>ROUNDUP(D91*README!$B$13*(1+README!$B$14),0)</f>
        <v>0</v>
      </c>
      <c r="H91" s="12">
        <f>G91+ROUNDUP(D91*README!$B$15,0)</f>
        <v>0</v>
      </c>
    </row>
    <row r="92" spans="1:8" x14ac:dyDescent="0.25">
      <c r="A92" s="10" t="s">
        <v>159</v>
      </c>
      <c r="B92" s="10" t="s">
        <v>160</v>
      </c>
      <c r="C92" s="10">
        <v>0</v>
      </c>
      <c r="D92" s="11">
        <v>0</v>
      </c>
      <c r="E92" s="10"/>
      <c r="F92" s="10"/>
      <c r="G92" s="12">
        <f>ROUNDUP(D92*README!$B$13*(1+README!$B$14),0)</f>
        <v>0</v>
      </c>
      <c r="H92" s="12">
        <f>G92+ROUNDUP(D92*README!$B$15,0)</f>
        <v>0</v>
      </c>
    </row>
    <row r="93" spans="1:8" x14ac:dyDescent="0.25">
      <c r="A93" s="10" t="s">
        <v>166</v>
      </c>
      <c r="B93" s="10" t="s">
        <v>167</v>
      </c>
      <c r="C93" s="10">
        <v>0</v>
      </c>
      <c r="D93" s="11">
        <v>0</v>
      </c>
      <c r="E93" s="10"/>
      <c r="F93" s="10"/>
      <c r="G93" s="12">
        <f>ROUNDUP(D93*README!$B$13*(1+README!$B$14),0)</f>
        <v>0</v>
      </c>
      <c r="H93" s="12">
        <f>G93+ROUNDUP(D93*README!$B$15,0)</f>
        <v>0</v>
      </c>
    </row>
    <row r="94" spans="1:8" x14ac:dyDescent="0.25">
      <c r="A94" s="10" t="s">
        <v>25</v>
      </c>
      <c r="B94" s="10" t="s">
        <v>107</v>
      </c>
      <c r="C94" s="10">
        <v>0</v>
      </c>
      <c r="D94" s="11">
        <v>0</v>
      </c>
      <c r="E94" s="10"/>
      <c r="F94" s="10"/>
      <c r="G94" s="12">
        <f>ROUNDUP(D94*README!$B$13*(1+README!$B$14),0)</f>
        <v>0</v>
      </c>
      <c r="H94" s="12">
        <f>G94+ROUNDUP(D94*README!$B$15,0)</f>
        <v>0</v>
      </c>
    </row>
    <row r="95" spans="1:8" x14ac:dyDescent="0.25">
      <c r="A95" s="10" t="s">
        <v>25</v>
      </c>
      <c r="B95" s="10" t="s">
        <v>168</v>
      </c>
      <c r="C95" s="10">
        <v>0</v>
      </c>
      <c r="D95" s="11">
        <v>0</v>
      </c>
      <c r="E95" s="10"/>
      <c r="F95" s="10"/>
      <c r="G95" s="12">
        <f>ROUNDUP(D95*README!$B$13*(1+README!$B$14),0)</f>
        <v>0</v>
      </c>
      <c r="H95" s="12">
        <f>G95+ROUNDUP(D95*README!$B$15,0)</f>
        <v>0</v>
      </c>
    </row>
    <row r="96" spans="1:8" x14ac:dyDescent="0.25">
      <c r="A96" s="10" t="s">
        <v>25</v>
      </c>
      <c r="B96" s="10" t="s">
        <v>169</v>
      </c>
      <c r="C96" s="10">
        <v>0</v>
      </c>
      <c r="D96" s="11">
        <v>0</v>
      </c>
      <c r="E96" s="10"/>
      <c r="F96" s="10"/>
      <c r="G96" s="12">
        <f>ROUNDUP(D96*README!$B$13*(1+README!$B$14),0)</f>
        <v>0</v>
      </c>
      <c r="H96" s="12">
        <f>G96+ROUNDUP(D96*README!$B$15,0)</f>
        <v>0</v>
      </c>
    </row>
    <row r="97" spans="1:8" x14ac:dyDescent="0.25">
      <c r="A97" s="10" t="s">
        <v>25</v>
      </c>
      <c r="B97" s="10" t="s">
        <v>194</v>
      </c>
      <c r="C97" s="10">
        <v>0</v>
      </c>
      <c r="D97" s="11">
        <v>0</v>
      </c>
      <c r="E97" s="10"/>
      <c r="F97" s="10"/>
      <c r="G97" s="12">
        <f>ROUNDUP(D97*README!$B$13*(1+README!$B$14),0)</f>
        <v>0</v>
      </c>
      <c r="H97" s="12">
        <f>G97+ROUNDUP(D97*README!$B$15,0)</f>
        <v>0</v>
      </c>
    </row>
    <row r="98" spans="1:8" x14ac:dyDescent="0.25">
      <c r="A98" s="10" t="s">
        <v>25</v>
      </c>
      <c r="B98" s="10" t="s">
        <v>177</v>
      </c>
      <c r="C98" s="10">
        <v>0</v>
      </c>
      <c r="D98" s="11">
        <v>0</v>
      </c>
      <c r="E98" s="10"/>
      <c r="F98" s="10"/>
      <c r="G98" s="12">
        <f>ROUNDUP(D98*README!$B$13*(1+README!$B$14),0)</f>
        <v>0</v>
      </c>
      <c r="H98" s="12">
        <f>G98+ROUNDUP(D98*README!$B$15,0)</f>
        <v>0</v>
      </c>
    </row>
    <row r="99" spans="1:8" x14ac:dyDescent="0.25">
      <c r="A99" s="10" t="s">
        <v>178</v>
      </c>
      <c r="B99" s="10" t="s">
        <v>179</v>
      </c>
      <c r="C99" s="10">
        <v>0</v>
      </c>
      <c r="D99" s="11">
        <v>0</v>
      </c>
      <c r="E99" s="10"/>
      <c r="F99" s="10"/>
      <c r="G99" s="12">
        <f>ROUNDUP(D99*README!$B$13*(1+README!$B$14),0)</f>
        <v>0</v>
      </c>
      <c r="H99" s="12">
        <f>G99+ROUNDUP(D99*README!$B$15,0)</f>
        <v>0</v>
      </c>
    </row>
    <row r="100" spans="1:8" x14ac:dyDescent="0.25">
      <c r="A100" s="10" t="s">
        <v>61</v>
      </c>
      <c r="B100" s="10" t="s">
        <v>180</v>
      </c>
      <c r="C100" s="10">
        <v>0</v>
      </c>
      <c r="D100" s="11">
        <v>0</v>
      </c>
      <c r="E100" s="10"/>
      <c r="F100" s="10"/>
      <c r="G100" s="12">
        <f>ROUNDUP(D100*README!$B$13*(1+README!$B$14),0)</f>
        <v>0</v>
      </c>
      <c r="H100" s="12">
        <f>G100+ROUNDUP(D100*README!$B$15,0)</f>
        <v>0</v>
      </c>
    </row>
    <row r="101" spans="1:8" x14ac:dyDescent="0.25">
      <c r="A101" s="10" t="s">
        <v>181</v>
      </c>
      <c r="B101" s="10" t="s">
        <v>182</v>
      </c>
      <c r="C101" s="10">
        <v>0</v>
      </c>
      <c r="D101" s="11">
        <v>0</v>
      </c>
      <c r="E101" s="10"/>
      <c r="F101" s="10"/>
      <c r="G101" s="12">
        <f>ROUNDUP(D101*README!$B$13*(1+README!$B$14),0)</f>
        <v>0</v>
      </c>
      <c r="H101" s="12">
        <f>G101+ROUNDUP(D101*README!$B$15,0)</f>
        <v>0</v>
      </c>
    </row>
  </sheetData>
  <autoFilter ref="A1:H101"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Las Olas</vt:lpstr>
      <vt:lpstr>Bayview</vt:lpstr>
      <vt:lpstr>Beach</vt:lpstr>
      <vt:lpstr>Sunrise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monty lalwani</cp:lastModifiedBy>
  <cp:revision>0</cp:revision>
  <dcterms:created xsi:type="dcterms:W3CDTF">2026-07-30T22:17:41Z</dcterms:created>
  <dcterms:modified xsi:type="dcterms:W3CDTF">2026-07-30T22:29:07Z</dcterms:modified>
  <dc:language>en-US</dc:language>
</cp:coreProperties>
</file>